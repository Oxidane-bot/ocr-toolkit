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https://ucbacuk-my.sharepoint.com/personal/sram_ucb_ac_uk/Documents/LECTURER/FINANCE FOR MANAGERS/"/>
    </mc:Choice>
  </mc:AlternateContent>
  <xr:revisionPtr revIDLastSave="0" documentId="8_{36BD7348-E647-41C8-B2FB-8B64F28D3B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indfulness Services" sheetId="1" r:id="rId1"/>
    <sheet name="The Green Restaurant" sheetId="2" r:id="rId2"/>
    <sheet name="LiteSnacks" sheetId="3" r:id="rId3"/>
    <sheet name="Robinson Stores" sheetId="4" r:id="rId4"/>
    <sheet name="Prime Products" sheetId="5" r:id="rId5"/>
    <sheet name="DD Drink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2" i="6" l="1"/>
  <c r="H74" i="6" s="1"/>
  <c r="F59" i="6"/>
  <c r="G54" i="6"/>
  <c r="H60" i="6" s="1"/>
  <c r="H46" i="6"/>
  <c r="H45" i="6"/>
  <c r="H29" i="6"/>
  <c r="F16" i="6"/>
  <c r="H17" i="6" s="1"/>
  <c r="H18" i="6" s="1"/>
  <c r="H72" i="5"/>
  <c r="H74" i="5" s="1"/>
  <c r="F59" i="5"/>
  <c r="G55" i="5"/>
  <c r="H46" i="5"/>
  <c r="H45" i="5"/>
  <c r="H29" i="5"/>
  <c r="F16" i="5"/>
  <c r="H17" i="5" s="1"/>
  <c r="H18" i="5" s="1"/>
  <c r="F59" i="4"/>
  <c r="H72" i="4"/>
  <c r="H74" i="4" s="1"/>
  <c r="G54" i="4"/>
  <c r="H46" i="4"/>
  <c r="H45" i="4"/>
  <c r="H47" i="4" s="1"/>
  <c r="H29" i="4"/>
  <c r="F16" i="4"/>
  <c r="H17" i="4" s="1"/>
  <c r="H18" i="4" s="1"/>
  <c r="H72" i="3"/>
  <c r="H74" i="3" s="1"/>
  <c r="F59" i="3"/>
  <c r="G55" i="3"/>
  <c r="H46" i="3"/>
  <c r="H45" i="3"/>
  <c r="H29" i="3"/>
  <c r="F16" i="3"/>
  <c r="H17" i="3" s="1"/>
  <c r="H18" i="3" s="1"/>
  <c r="H46" i="2"/>
  <c r="H45" i="2"/>
  <c r="H71" i="2"/>
  <c r="H73" i="2" s="1"/>
  <c r="F58" i="2"/>
  <c r="G53" i="2"/>
  <c r="H47" i="2"/>
  <c r="H30" i="2"/>
  <c r="F16" i="2"/>
  <c r="H17" i="2" s="1"/>
  <c r="H18" i="2" s="1"/>
  <c r="F59" i="1"/>
  <c r="H72" i="1"/>
  <c r="H74" i="1" s="1"/>
  <c r="G54" i="1"/>
  <c r="H48" i="1"/>
  <c r="H59" i="2" l="1"/>
  <c r="H47" i="6"/>
  <c r="H61" i="6" s="1"/>
  <c r="H66" i="6" s="1"/>
  <c r="H30" i="6"/>
  <c r="H60" i="5"/>
  <c r="H47" i="5"/>
  <c r="H30" i="5"/>
  <c r="H60" i="4"/>
  <c r="H61" i="4" s="1"/>
  <c r="H66" i="4" s="1"/>
  <c r="H30" i="4"/>
  <c r="H60" i="3"/>
  <c r="H47" i="3"/>
  <c r="H61" i="3" s="1"/>
  <c r="H66" i="3" s="1"/>
  <c r="H30" i="3"/>
  <c r="H60" i="2"/>
  <c r="H65" i="2" s="1"/>
  <c r="H31" i="2"/>
  <c r="H60" i="1"/>
  <c r="H61" i="1"/>
  <c r="H66" i="1" s="1"/>
  <c r="H29" i="1"/>
  <c r="F16" i="1"/>
  <c r="H17" i="1" s="1"/>
  <c r="H18" i="1" s="1"/>
  <c r="H61" i="5" l="1"/>
  <c r="H66" i="5" s="1"/>
  <c r="H30" i="1"/>
</calcChain>
</file>

<file path=xl/sharedStrings.xml><?xml version="1.0" encoding="utf-8"?>
<sst xmlns="http://schemas.openxmlformats.org/spreadsheetml/2006/main" count="311" uniqueCount="78">
  <si>
    <t xml:space="preserve">Class Exercise One </t>
  </si>
  <si>
    <t>Company Name</t>
  </si>
  <si>
    <t>Mindfulness Services</t>
  </si>
  <si>
    <t>Income Statement for the Year Ended</t>
  </si>
  <si>
    <t>31.12.2018</t>
  </si>
  <si>
    <t>£</t>
  </si>
  <si>
    <t xml:space="preserve"> </t>
  </si>
  <si>
    <t>Sales</t>
  </si>
  <si>
    <t>Cost of Sales:</t>
  </si>
  <si>
    <t>Opening Stock</t>
  </si>
  <si>
    <t>Purchases</t>
  </si>
  <si>
    <t>Closing Stock</t>
  </si>
  <si>
    <t>GROSS PROFIT</t>
  </si>
  <si>
    <t>Expenses:</t>
  </si>
  <si>
    <t>Heating and Lighting</t>
  </si>
  <si>
    <t>Sundry Expenses</t>
  </si>
  <si>
    <t>Rent and Rates</t>
  </si>
  <si>
    <t>Repairs</t>
  </si>
  <si>
    <t>Advertising</t>
  </si>
  <si>
    <t>Motor Vehicle (Dep. @ 10%)</t>
  </si>
  <si>
    <t>Office Equipment (Dep. @ 25%)</t>
  </si>
  <si>
    <t>NET PROFIT</t>
  </si>
  <si>
    <t>Statement of Financial Position as at</t>
  </si>
  <si>
    <t>Non-current Assets</t>
  </si>
  <si>
    <t>Cost</t>
  </si>
  <si>
    <t>Dep.</t>
  </si>
  <si>
    <t>NBV</t>
  </si>
  <si>
    <t>Premises</t>
  </si>
  <si>
    <t>Motor Vehicles</t>
  </si>
  <si>
    <t>Office Equipment</t>
  </si>
  <si>
    <t>CURRENT ASSETS</t>
  </si>
  <si>
    <t>Stock</t>
  </si>
  <si>
    <t>Trade Receivables</t>
  </si>
  <si>
    <t>CURRENT LIABILITIES</t>
  </si>
  <si>
    <t>Bank Overdraft</t>
  </si>
  <si>
    <t>Trade Payables</t>
  </si>
  <si>
    <t>Working Capital</t>
  </si>
  <si>
    <t>Total assests minus current liabilities</t>
  </si>
  <si>
    <t>LONG TERM LIABILITIES</t>
  </si>
  <si>
    <t>Bank loan</t>
  </si>
  <si>
    <t>NET ASSETS</t>
  </si>
  <si>
    <t>FINANCED BY</t>
  </si>
  <si>
    <t>Opening Capital</t>
  </si>
  <si>
    <t>Net Profit</t>
  </si>
  <si>
    <t>Drawings</t>
  </si>
  <si>
    <t>CLOSING CAPITAL</t>
  </si>
  <si>
    <t>Class Exercise Two</t>
  </si>
  <si>
    <t>The Green Restaurant</t>
  </si>
  <si>
    <t>30.09.2019</t>
  </si>
  <si>
    <t>Wages and Salaries</t>
  </si>
  <si>
    <t>Motor Vehicle (Dep. @ 15%)</t>
  </si>
  <si>
    <t>Fixture and Fittings (Dep. @ 20%)</t>
  </si>
  <si>
    <t>Fixture and Fittings</t>
  </si>
  <si>
    <t>Self-study Exercise One</t>
  </si>
  <si>
    <t>LiteSnacks</t>
  </si>
  <si>
    <t>31.07.2019</t>
  </si>
  <si>
    <t>Rates and Insurance</t>
  </si>
  <si>
    <t>Motor and Travelling Expenses</t>
  </si>
  <si>
    <t>Loan Interest</t>
  </si>
  <si>
    <t>Equipment (Dep. @ 30%)</t>
  </si>
  <si>
    <t>Equipment</t>
  </si>
  <si>
    <t>Motor Vehicle</t>
  </si>
  <si>
    <t>Bank Balance</t>
  </si>
  <si>
    <t>Cash in Hand</t>
  </si>
  <si>
    <t>Self-study Exercise Two</t>
  </si>
  <si>
    <t>Robinson Stores</t>
  </si>
  <si>
    <t>31.05.2019</t>
  </si>
  <si>
    <t>Fixture and Fittings (Dep. @ 25%)</t>
  </si>
  <si>
    <t>Motor Vehicle (Dep. @ 20%)</t>
  </si>
  <si>
    <t>Self-study Exercise Three</t>
  </si>
  <si>
    <t>Prime Products</t>
  </si>
  <si>
    <t>31.03.2019</t>
  </si>
  <si>
    <t>Fixture and Fittings (Dep. @ 30%)</t>
  </si>
  <si>
    <t>Self-study Exercise Four</t>
  </si>
  <si>
    <t>DD Drinks</t>
  </si>
  <si>
    <t>31.08.2019</t>
  </si>
  <si>
    <t>Fixture and Fittings (Dep. @ 10%)</t>
  </si>
  <si>
    <t>Motor Vehicle (Dep. @ 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</si>
</sst>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u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3" fontId="0" fillId="0" borderId="0" xfId="0" applyNumberFormat="1"/>
    <xf numFmtId="3" fontId="3" fillId="0" borderId="0" xfId="0" applyNumberFormat="1" applyFont="1"/>
    <xf numFmtId="3" fontId="3" fillId="3" borderId="0" xfId="0" applyNumberFormat="1" applyFont="1" applyFill="1"/>
    <xf numFmtId="3" fontId="1" fillId="3" borderId="0" xfId="0" applyNumberFormat="1" applyFont="1" applyFill="1"/>
    <xf numFmtId="3" fontId="4" fillId="2" borderId="0" xfId="0" applyNumberFormat="1" applyFont="1" applyFill="1"/>
    <xf numFmtId="3" fontId="5" fillId="0" borderId="0" xfId="0" applyNumberFormat="1" applyFont="1"/>
    <xf numFmtId="3" fontId="4" fillId="0" borderId="0" xfId="0" applyNumberFormat="1" applyFont="1"/>
    <xf numFmtId="3" fontId="2" fillId="2" borderId="0" xfId="0" applyNumberFormat="1" applyFont="1" applyFill="1"/>
    <xf numFmtId="3" fontId="2" fillId="0" borderId="0" xfId="0" applyNumberFormat="1" applyFont="1" applyAlignment="1">
      <alignment horizontal="center"/>
    </xf>
    <xf numFmtId="3" fontId="1" fillId="2" borderId="0" xfId="0" applyNumberFormat="1" applyFont="1" applyFill="1"/>
    <xf numFmtId="3" fontId="6" fillId="0" borderId="0" xfId="0" applyNumberFormat="1" applyFont="1"/>
    <xf numFmtId="3" fontId="2" fillId="2" borderId="1" xfId="0" applyNumberFormat="1" applyFont="1" applyFill="1" applyBorder="1"/>
    <xf numFmtId="3" fontId="1" fillId="2" borderId="2" xfId="0" applyNumberFormat="1" applyFont="1" applyFill="1" applyBorder="1"/>
    <xf numFmtId="3" fontId="2" fillId="3" borderId="0" xfId="0" applyNumberFormat="1" applyFont="1" applyFill="1"/>
    <xf numFmtId="3" fontId="2" fillId="3" borderId="3" xfId="0" applyNumberFormat="1" applyFont="1" applyFill="1" applyBorder="1"/>
    <xf numFmtId="3" fontId="2" fillId="3" borderId="1" xfId="0" applyNumberFormat="1" applyFont="1" applyFill="1" applyBorder="1"/>
    <xf numFmtId="3" fontId="6" fillId="3" borderId="0" xfId="0" applyNumberFormat="1" applyFont="1" applyFill="1"/>
    <xf numFmtId="3" fontId="2" fillId="3" borderId="2" xfId="0" applyNumberFormat="1" applyFont="1" applyFill="1" applyBorder="1"/>
    <xf numFmtId="3" fontId="2" fillId="4" borderId="0" xfId="0" applyNumberFormat="1" applyFont="1" applyFill="1"/>
    <xf numFmtId="3" fontId="2" fillId="4" borderId="3" xfId="0" applyNumberFormat="1" applyFont="1" applyFill="1" applyBorder="1"/>
    <xf numFmtId="3" fontId="2" fillId="4" borderId="1" xfId="0" applyNumberFormat="1" applyFont="1" applyFill="1" applyBorder="1"/>
    <xf numFmtId="3" fontId="2" fillId="4" borderId="2" xfId="0" applyNumberFormat="1" applyFont="1" applyFill="1" applyBorder="1"/>
    <xf numFmtId="3" fontId="2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3" fontId="1" fillId="2" borderId="0" xfId="0" applyNumberFormat="1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3" fontId="3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>
      <selection activeCell="I1" sqref="I1:S1048576"/>
    </sheetView>
  </sheetViews>
  <sheetFormatPr defaultRowHeight="15" x14ac:dyDescent="0.25"/>
  <cols>
    <col min="5" max="5" width="12.5703125" customWidth="1"/>
    <col min="6" max="8" width="14.140625" customWidth="1"/>
  </cols>
  <sheetData>
    <row r="1" spans="1:8" s="3" customFormat="1" ht="20.25" x14ac:dyDescent="0.3">
      <c r="A1" s="28" t="s">
        <v>0</v>
      </c>
      <c r="B1" s="28"/>
      <c r="C1" s="28"/>
      <c r="D1" s="28"/>
      <c r="E1" s="1"/>
      <c r="F1" s="1"/>
      <c r="G1" s="1"/>
      <c r="H1" s="2"/>
    </row>
    <row r="2" spans="1:8" s="3" customFormat="1" ht="20.25" x14ac:dyDescent="0.3">
      <c r="A2" s="1"/>
      <c r="B2" s="1"/>
      <c r="C2" s="1"/>
      <c r="D2" s="1"/>
      <c r="E2" s="1"/>
      <c r="F2" s="1"/>
      <c r="G2" s="1"/>
      <c r="H2" s="2"/>
    </row>
    <row r="3" spans="1:8" s="3" customFormat="1" ht="20.25" x14ac:dyDescent="0.3">
      <c r="A3" s="1"/>
      <c r="B3" s="1"/>
      <c r="C3" s="1"/>
      <c r="D3" s="1"/>
      <c r="E3" s="1"/>
      <c r="F3" s="1"/>
      <c r="G3" s="1"/>
      <c r="H3" s="2"/>
    </row>
    <row r="4" spans="1:8" s="3" customFormat="1" ht="20.25" x14ac:dyDescent="0.3">
      <c r="A4" s="30" t="s">
        <v>1</v>
      </c>
      <c r="B4" s="30"/>
      <c r="C4" s="30"/>
      <c r="D4" s="1"/>
      <c r="E4" s="1"/>
      <c r="F4" s="34" t="s">
        <v>2</v>
      </c>
      <c r="G4" s="34"/>
      <c r="H4" s="34"/>
    </row>
    <row r="5" spans="1:8" s="3" customFormat="1" ht="20.25" x14ac:dyDescent="0.3">
      <c r="A5" s="4"/>
      <c r="B5" s="1"/>
      <c r="C5" s="1"/>
      <c r="D5" s="1"/>
      <c r="E5" s="1"/>
      <c r="F5" s="1"/>
      <c r="G5" s="5"/>
      <c r="H5" s="6"/>
    </row>
    <row r="6" spans="1:8" s="3" customFormat="1" ht="20.25" x14ac:dyDescent="0.3">
      <c r="A6" s="30" t="s">
        <v>3</v>
      </c>
      <c r="B6" s="30"/>
      <c r="C6" s="30"/>
      <c r="D6" s="30"/>
      <c r="E6" s="30"/>
      <c r="F6" s="30"/>
      <c r="G6" s="31" t="s">
        <v>4</v>
      </c>
      <c r="H6" s="31"/>
    </row>
    <row r="7" spans="1:8" s="3" customFormat="1" ht="20.25" x14ac:dyDescent="0.3">
      <c r="A7" s="8"/>
      <c r="B7" s="9"/>
      <c r="C7" s="9"/>
      <c r="D7" s="9"/>
      <c r="E7" s="9"/>
      <c r="F7" s="9"/>
      <c r="G7" s="7"/>
      <c r="H7" s="10"/>
    </row>
    <row r="8" spans="1:8" s="3" customFormat="1" ht="20.25" x14ac:dyDescent="0.3">
      <c r="A8" s="8"/>
      <c r="B8" s="9"/>
      <c r="C8" s="9"/>
      <c r="D8" s="9"/>
      <c r="E8" s="9"/>
      <c r="F8" s="9"/>
      <c r="G8" s="7"/>
      <c r="H8" s="10"/>
    </row>
    <row r="9" spans="1:8" s="3" customFormat="1" ht="20.25" x14ac:dyDescent="0.3">
      <c r="A9" s="4"/>
      <c r="B9" s="2"/>
      <c r="C9" s="2"/>
      <c r="D9" s="2"/>
      <c r="E9" s="2"/>
      <c r="F9" s="2"/>
      <c r="G9" s="2"/>
      <c r="H9" s="2"/>
    </row>
    <row r="10" spans="1:8" s="3" customFormat="1" ht="20.25" x14ac:dyDescent="0.3">
      <c r="A10" s="2"/>
      <c r="B10" s="2"/>
      <c r="C10" s="2"/>
      <c r="D10" s="2"/>
      <c r="E10" s="2"/>
      <c r="F10" s="11" t="s">
        <v>5</v>
      </c>
      <c r="G10" s="2" t="s">
        <v>6</v>
      </c>
      <c r="H10" s="11" t="s">
        <v>5</v>
      </c>
    </row>
    <row r="11" spans="1:8" s="3" customFormat="1" ht="20.25" x14ac:dyDescent="0.3">
      <c r="A11" s="1" t="s">
        <v>7</v>
      </c>
      <c r="B11" s="2"/>
      <c r="C11" s="2"/>
      <c r="D11" s="2"/>
      <c r="E11" s="2"/>
      <c r="F11" s="2"/>
      <c r="G11" s="2"/>
      <c r="H11" s="12">
        <v>250000</v>
      </c>
    </row>
    <row r="12" spans="1:8" s="3" customFormat="1" ht="20.25" x14ac:dyDescent="0.3">
      <c r="A12" s="2"/>
      <c r="B12" s="2"/>
      <c r="C12" s="2"/>
      <c r="D12" s="2"/>
      <c r="E12" s="2"/>
      <c r="F12" s="2"/>
      <c r="G12" s="2"/>
      <c r="H12" s="2"/>
    </row>
    <row r="13" spans="1:8" s="3" customFormat="1" ht="20.25" x14ac:dyDescent="0.3">
      <c r="A13" s="26" t="s">
        <v>8</v>
      </c>
      <c r="B13" s="26"/>
      <c r="C13" s="25"/>
      <c r="D13" s="2"/>
      <c r="E13" s="2"/>
      <c r="F13" s="2"/>
      <c r="G13" s="2"/>
      <c r="H13" s="2"/>
    </row>
    <row r="14" spans="1:8" s="3" customFormat="1" ht="20.25" x14ac:dyDescent="0.3">
      <c r="A14" s="2" t="s">
        <v>9</v>
      </c>
      <c r="B14" s="2"/>
      <c r="C14" s="2"/>
      <c r="D14" s="2"/>
      <c r="E14" s="2"/>
      <c r="F14" s="10">
        <v>25000</v>
      </c>
      <c r="G14" s="2"/>
      <c r="H14" s="13"/>
    </row>
    <row r="15" spans="1:8" s="3" customFormat="1" ht="21" thickBot="1" x14ac:dyDescent="0.35">
      <c r="A15" s="2" t="s">
        <v>10</v>
      </c>
      <c r="B15" s="2"/>
      <c r="C15" s="2"/>
      <c r="D15" s="2"/>
      <c r="E15" s="2"/>
      <c r="F15" s="14">
        <v>143000</v>
      </c>
      <c r="G15" s="2"/>
      <c r="H15" s="2"/>
    </row>
    <row r="16" spans="1:8" s="3" customFormat="1" ht="21" thickTop="1" x14ac:dyDescent="0.3">
      <c r="A16" s="13"/>
      <c r="B16" s="2"/>
      <c r="C16" s="2"/>
      <c r="D16" s="2"/>
      <c r="E16" s="2"/>
      <c r="F16" s="10">
        <f>SUM(F14:F15)</f>
        <v>168000</v>
      </c>
      <c r="G16" s="2"/>
      <c r="H16" s="2"/>
    </row>
    <row r="17" spans="1:8" s="3" customFormat="1" ht="21" thickBot="1" x14ac:dyDescent="0.35">
      <c r="A17" s="2" t="s">
        <v>11</v>
      </c>
      <c r="B17" s="2"/>
      <c r="C17" s="2"/>
      <c r="D17" s="2"/>
      <c r="E17" s="2"/>
      <c r="F17" s="14">
        <v>23456</v>
      </c>
      <c r="G17" s="2"/>
      <c r="H17" s="14">
        <f>SUM(F16-F17)</f>
        <v>144544</v>
      </c>
    </row>
    <row r="18" spans="1:8" s="3" customFormat="1" ht="21.75" thickTop="1" thickBot="1" x14ac:dyDescent="0.35">
      <c r="A18" s="28" t="s">
        <v>12</v>
      </c>
      <c r="B18" s="28"/>
      <c r="C18" s="28"/>
      <c r="D18" s="2"/>
      <c r="E18" s="2"/>
      <c r="F18" s="2"/>
      <c r="G18" s="2"/>
      <c r="H18" s="15">
        <f>SUM(H11-H17)</f>
        <v>105456</v>
      </c>
    </row>
    <row r="19" spans="1:8" s="3" customFormat="1" ht="21" thickTop="1" x14ac:dyDescent="0.3">
      <c r="A19" s="2"/>
      <c r="B19" s="2"/>
      <c r="C19" s="2"/>
      <c r="D19" s="2"/>
      <c r="E19" s="2"/>
      <c r="F19" s="2"/>
      <c r="G19" s="2"/>
      <c r="H19" s="16"/>
    </row>
    <row r="20" spans="1:8" s="3" customFormat="1" ht="20.25" x14ac:dyDescent="0.3">
      <c r="A20" s="2"/>
      <c r="B20" s="2"/>
      <c r="C20" s="2"/>
      <c r="D20" s="2"/>
      <c r="E20" s="2"/>
      <c r="F20" s="2"/>
      <c r="G20" s="2"/>
      <c r="H20" s="16"/>
    </row>
    <row r="21" spans="1:8" s="3" customFormat="1" ht="20.25" x14ac:dyDescent="0.3">
      <c r="A21" s="2"/>
      <c r="B21" s="2"/>
      <c r="C21" s="2"/>
      <c r="D21" s="2"/>
      <c r="E21" s="2"/>
      <c r="F21" s="2"/>
      <c r="G21" s="2"/>
      <c r="H21" s="16"/>
    </row>
    <row r="22" spans="1:8" s="3" customFormat="1" ht="20.25" x14ac:dyDescent="0.3">
      <c r="A22" s="30" t="s">
        <v>13</v>
      </c>
      <c r="B22" s="30"/>
      <c r="C22" s="2"/>
      <c r="D22" s="2"/>
      <c r="E22" s="2"/>
      <c r="F22" s="2"/>
      <c r="G22" s="2"/>
      <c r="H22" s="2"/>
    </row>
    <row r="23" spans="1:8" s="3" customFormat="1" ht="20.25" x14ac:dyDescent="0.3">
      <c r="A23" s="2" t="s">
        <v>14</v>
      </c>
      <c r="B23" s="2"/>
      <c r="C23" s="2"/>
      <c r="D23" s="2"/>
      <c r="E23" s="2"/>
      <c r="F23" s="10">
        <v>12000</v>
      </c>
      <c r="G23" s="13"/>
      <c r="H23" s="2"/>
    </row>
    <row r="24" spans="1:8" s="3" customFormat="1" ht="20.25" x14ac:dyDescent="0.3">
      <c r="A24" s="29" t="s">
        <v>15</v>
      </c>
      <c r="B24" s="29"/>
      <c r="C24" s="29"/>
      <c r="D24" s="29"/>
      <c r="E24" s="2"/>
      <c r="F24" s="10">
        <v>3400</v>
      </c>
      <c r="G24" s="13"/>
      <c r="H24" s="2"/>
    </row>
    <row r="25" spans="1:8" s="3" customFormat="1" ht="20.25" x14ac:dyDescent="0.3">
      <c r="A25" s="2" t="s">
        <v>16</v>
      </c>
      <c r="B25" s="2"/>
      <c r="C25" s="2"/>
      <c r="D25" s="2"/>
      <c r="E25" s="2"/>
      <c r="F25" s="10">
        <v>13560</v>
      </c>
      <c r="G25" s="2"/>
      <c r="H25" s="2"/>
    </row>
    <row r="26" spans="1:8" s="3" customFormat="1" ht="20.25" x14ac:dyDescent="0.3">
      <c r="A26" s="2" t="s">
        <v>17</v>
      </c>
      <c r="B26" s="2"/>
      <c r="C26" s="2"/>
      <c r="D26" s="2"/>
      <c r="E26" s="2"/>
      <c r="F26" s="10">
        <v>2340</v>
      </c>
      <c r="G26" s="2"/>
      <c r="H26" s="2"/>
    </row>
    <row r="27" spans="1:8" s="3" customFormat="1" ht="20.25" x14ac:dyDescent="0.3">
      <c r="A27" s="29" t="s">
        <v>18</v>
      </c>
      <c r="B27" s="29"/>
      <c r="C27" s="2"/>
      <c r="D27" s="2"/>
      <c r="E27" s="2"/>
      <c r="F27" s="10">
        <v>10000</v>
      </c>
      <c r="G27" s="2"/>
      <c r="H27" s="2"/>
    </row>
    <row r="28" spans="1:8" s="3" customFormat="1" ht="20.25" x14ac:dyDescent="0.3">
      <c r="A28" s="2" t="s">
        <v>19</v>
      </c>
      <c r="B28" s="2"/>
      <c r="C28" s="2"/>
      <c r="D28" s="2"/>
      <c r="E28" s="2"/>
      <c r="F28" s="10">
        <v>4500</v>
      </c>
      <c r="G28" s="2"/>
      <c r="H28" s="2"/>
    </row>
    <row r="29" spans="1:8" s="3" customFormat="1" ht="21" thickBot="1" x14ac:dyDescent="0.35">
      <c r="A29" s="29" t="s">
        <v>20</v>
      </c>
      <c r="B29" s="29"/>
      <c r="C29" s="29"/>
      <c r="D29" s="29"/>
      <c r="E29" s="29"/>
      <c r="F29" s="14">
        <v>6720</v>
      </c>
      <c r="G29" s="2"/>
      <c r="H29" s="2">
        <f>SUM(F23:F29)</f>
        <v>52520</v>
      </c>
    </row>
    <row r="30" spans="1:8" s="3" customFormat="1" ht="21.75" thickTop="1" thickBot="1" x14ac:dyDescent="0.35">
      <c r="A30" s="28" t="s">
        <v>21</v>
      </c>
      <c r="B30" s="28"/>
      <c r="C30" s="2"/>
      <c r="D30" s="2"/>
      <c r="E30" s="2"/>
      <c r="F30" s="13"/>
      <c r="G30" s="13"/>
      <c r="H30" s="15">
        <f>SUM(H18-H29)</f>
        <v>52936</v>
      </c>
    </row>
    <row r="31" spans="1:8" s="3" customFormat="1" ht="21" thickTop="1" x14ac:dyDescent="0.3">
      <c r="A31" s="27"/>
      <c r="B31" s="27"/>
      <c r="C31" s="2"/>
      <c r="D31" s="2"/>
      <c r="E31" s="2"/>
      <c r="F31" s="13"/>
      <c r="G31" s="13"/>
      <c r="H31" s="12"/>
    </row>
    <row r="32" spans="1:8" s="3" customFormat="1" ht="20.25" x14ac:dyDescent="0.3">
      <c r="A32" s="2"/>
      <c r="B32" s="2"/>
      <c r="C32" s="2"/>
      <c r="D32" s="2"/>
      <c r="E32" s="2"/>
      <c r="F32" s="2"/>
      <c r="G32" s="2"/>
      <c r="H32" s="13"/>
    </row>
    <row r="40" spans="1:8" s="3" customFormat="1" ht="20.25" x14ac:dyDescent="0.3">
      <c r="A40" s="26" t="s">
        <v>1</v>
      </c>
      <c r="B40" s="26"/>
      <c r="C40" s="26"/>
      <c r="D40" s="6"/>
      <c r="E40" s="6"/>
      <c r="F40" s="32" t="s">
        <v>2</v>
      </c>
      <c r="G40" s="32"/>
      <c r="H40" s="32"/>
    </row>
    <row r="41" spans="1:8" s="3" customFormat="1" ht="20.25" x14ac:dyDescent="0.3">
      <c r="A41" s="4"/>
      <c r="B41" s="4"/>
      <c r="C41" s="4"/>
      <c r="D41" s="1"/>
      <c r="E41" s="1"/>
      <c r="F41" s="1"/>
      <c r="G41" s="1"/>
      <c r="H41" s="2"/>
    </row>
    <row r="42" spans="1:8" s="3" customFormat="1" ht="20.25" x14ac:dyDescent="0.3">
      <c r="A42" s="1" t="s">
        <v>22</v>
      </c>
      <c r="B42" s="1"/>
      <c r="C42" s="1"/>
      <c r="D42" s="1"/>
      <c r="E42" s="1"/>
      <c r="F42" s="6"/>
      <c r="G42" s="33" t="s">
        <v>4</v>
      </c>
      <c r="H42" s="33"/>
    </row>
    <row r="43" spans="1:8" s="3" customFormat="1" ht="20.25" x14ac:dyDescent="0.3">
      <c r="A43" s="1"/>
      <c r="B43" s="1"/>
      <c r="C43" s="1"/>
      <c r="D43" s="1"/>
      <c r="E43" s="1"/>
      <c r="F43" s="1"/>
      <c r="G43" s="1"/>
      <c r="H43" s="2"/>
    </row>
    <row r="44" spans="1:8" s="3" customFormat="1" ht="20.25" x14ac:dyDescent="0.3">
      <c r="A44" s="4" t="s">
        <v>23</v>
      </c>
      <c r="B44" s="1"/>
      <c r="C44" s="1"/>
      <c r="D44" s="2"/>
      <c r="E44" s="2"/>
      <c r="F44" s="11" t="s">
        <v>24</v>
      </c>
      <c r="G44" s="11" t="s">
        <v>25</v>
      </c>
      <c r="H44" s="11" t="s">
        <v>26</v>
      </c>
    </row>
    <row r="45" spans="1:8" s="3" customFormat="1" ht="20.25" x14ac:dyDescent="0.3">
      <c r="A45" s="29" t="s">
        <v>27</v>
      </c>
      <c r="B45" s="29"/>
      <c r="C45" s="29"/>
      <c r="D45" s="29"/>
      <c r="E45" s="2"/>
      <c r="F45" s="2"/>
      <c r="G45" s="2"/>
      <c r="H45" s="16">
        <v>140000</v>
      </c>
    </row>
    <row r="46" spans="1:8" s="3" customFormat="1" ht="20.25" x14ac:dyDescent="0.3">
      <c r="A46" s="29" t="s">
        <v>28</v>
      </c>
      <c r="B46" s="29"/>
      <c r="C46" s="29"/>
      <c r="D46" s="29"/>
      <c r="E46" s="2"/>
      <c r="F46" s="2">
        <v>45000</v>
      </c>
      <c r="G46" s="2">
        <v>4500</v>
      </c>
      <c r="H46" s="16">
        <v>40500</v>
      </c>
    </row>
    <row r="47" spans="1:8" s="3" customFormat="1" ht="21" thickBot="1" x14ac:dyDescent="0.35">
      <c r="A47" s="29" t="s">
        <v>29</v>
      </c>
      <c r="B47" s="29"/>
      <c r="C47" s="29"/>
      <c r="D47" s="29"/>
      <c r="E47" s="2"/>
      <c r="F47" s="2">
        <v>26880</v>
      </c>
      <c r="G47" s="2">
        <v>6720</v>
      </c>
      <c r="H47" s="16">
        <v>20160</v>
      </c>
    </row>
    <row r="48" spans="1:8" s="3" customFormat="1" ht="21" thickTop="1" x14ac:dyDescent="0.3">
      <c r="A48" s="2"/>
      <c r="B48" s="2"/>
      <c r="C48" s="2"/>
      <c r="D48" s="2"/>
      <c r="E48" s="2"/>
      <c r="F48" s="2"/>
      <c r="G48" s="2"/>
      <c r="H48" s="17">
        <f>SUM(H45:H47)</f>
        <v>200660</v>
      </c>
    </row>
    <row r="49" spans="1:8" s="3" customFormat="1" ht="20.25" x14ac:dyDescent="0.3">
      <c r="A49" s="2"/>
      <c r="B49" s="2"/>
      <c r="C49" s="2"/>
      <c r="D49" s="2"/>
      <c r="E49" s="2"/>
      <c r="F49" s="2"/>
      <c r="G49" s="2"/>
      <c r="H49" s="16"/>
    </row>
    <row r="50" spans="1:8" s="3" customFormat="1" ht="20.25" x14ac:dyDescent="0.3">
      <c r="A50" s="2"/>
      <c r="B50" s="2"/>
      <c r="C50" s="2"/>
      <c r="D50" s="2"/>
      <c r="E50" s="2"/>
      <c r="F50" s="2"/>
      <c r="G50" s="2"/>
      <c r="H50" s="2"/>
    </row>
    <row r="51" spans="1:8" s="3" customFormat="1" ht="20.25" x14ac:dyDescent="0.3">
      <c r="A51" s="4" t="s">
        <v>30</v>
      </c>
      <c r="B51" s="1"/>
      <c r="C51" s="1"/>
      <c r="D51" s="1"/>
      <c r="E51" s="2"/>
      <c r="F51" s="2"/>
      <c r="G51" s="2"/>
      <c r="H51" s="2"/>
    </row>
    <row r="52" spans="1:8" s="3" customFormat="1" ht="20.25" x14ac:dyDescent="0.3">
      <c r="A52" s="29" t="s">
        <v>31</v>
      </c>
      <c r="B52" s="29"/>
      <c r="C52" s="29"/>
      <c r="D52" s="29"/>
      <c r="E52" s="2"/>
      <c r="F52" s="2"/>
      <c r="G52" s="2">
        <v>23456</v>
      </c>
      <c r="H52" s="2"/>
    </row>
    <row r="53" spans="1:8" s="3" customFormat="1" ht="21" thickBot="1" x14ac:dyDescent="0.35">
      <c r="A53" s="29" t="s">
        <v>32</v>
      </c>
      <c r="B53" s="29"/>
      <c r="C53" s="29"/>
      <c r="D53" s="29"/>
      <c r="E53" s="2"/>
      <c r="F53" s="2"/>
      <c r="G53" s="16">
        <v>44000</v>
      </c>
      <c r="H53" s="2"/>
    </row>
    <row r="54" spans="1:8" s="3" customFormat="1" ht="21" thickTop="1" x14ac:dyDescent="0.3">
      <c r="A54" s="2"/>
      <c r="B54" s="2"/>
      <c r="C54" s="2"/>
      <c r="D54" s="2"/>
      <c r="E54" s="2"/>
      <c r="F54" s="2"/>
      <c r="G54" s="17">
        <f>SUM(G52:G53)</f>
        <v>67456</v>
      </c>
      <c r="H54" s="2"/>
    </row>
    <row r="55" spans="1:8" s="3" customFormat="1" ht="20.25" x14ac:dyDescent="0.3">
      <c r="A55" s="2"/>
      <c r="B55" s="2"/>
      <c r="C55" s="2"/>
      <c r="D55" s="2"/>
      <c r="E55" s="2"/>
      <c r="F55" s="2"/>
      <c r="G55" s="16"/>
      <c r="H55" s="2"/>
    </row>
    <row r="56" spans="1:8" s="3" customFormat="1" ht="20.25" x14ac:dyDescent="0.3">
      <c r="A56" s="4" t="s">
        <v>33</v>
      </c>
      <c r="B56" s="1"/>
      <c r="C56" s="1"/>
      <c r="D56" s="1"/>
      <c r="E56" s="2"/>
      <c r="F56" s="2"/>
      <c r="G56" s="2"/>
      <c r="H56" s="2"/>
    </row>
    <row r="57" spans="1:8" s="3" customFormat="1" ht="20.25" x14ac:dyDescent="0.3">
      <c r="A57" s="29" t="s">
        <v>34</v>
      </c>
      <c r="B57" s="30"/>
      <c r="C57" s="30"/>
      <c r="D57" s="30"/>
      <c r="E57" s="2"/>
      <c r="F57" s="2">
        <v>12000</v>
      </c>
      <c r="G57" s="2"/>
      <c r="H57" s="2"/>
    </row>
    <row r="58" spans="1:8" s="3" customFormat="1" ht="21" thickBot="1" x14ac:dyDescent="0.35">
      <c r="A58" s="29" t="s">
        <v>35</v>
      </c>
      <c r="B58" s="29"/>
      <c r="C58" s="29"/>
      <c r="D58" s="29"/>
      <c r="E58" s="2"/>
      <c r="F58" s="16">
        <v>29000</v>
      </c>
      <c r="G58" s="2"/>
      <c r="H58" s="16"/>
    </row>
    <row r="59" spans="1:8" s="3" customFormat="1" ht="21" thickTop="1" x14ac:dyDescent="0.3">
      <c r="A59" s="25"/>
      <c r="B59" s="25"/>
      <c r="C59" s="25"/>
      <c r="D59" s="25"/>
      <c r="E59" s="2"/>
      <c r="F59" s="17">
        <f>SUM(F57:F58)</f>
        <v>41000</v>
      </c>
      <c r="G59" s="2"/>
      <c r="H59" s="16"/>
    </row>
    <row r="60" spans="1:8" s="3" customFormat="1" ht="21" thickBot="1" x14ac:dyDescent="0.35">
      <c r="A60" s="2" t="s">
        <v>36</v>
      </c>
      <c r="B60" s="2"/>
      <c r="C60" s="2"/>
      <c r="D60" s="2"/>
      <c r="E60" s="2"/>
      <c r="F60" s="2"/>
      <c r="G60" s="2"/>
      <c r="H60" s="18">
        <f>SUM(G54-F59)</f>
        <v>26456</v>
      </c>
    </row>
    <row r="61" spans="1:8" s="3" customFormat="1" ht="21" thickTop="1" x14ac:dyDescent="0.3">
      <c r="A61" s="2" t="s">
        <v>37</v>
      </c>
      <c r="B61" s="2"/>
      <c r="C61" s="2"/>
      <c r="D61" s="2"/>
      <c r="E61" s="2"/>
      <c r="F61" s="2"/>
      <c r="G61" s="2"/>
      <c r="H61" s="16">
        <f>SUM(H48:H60)</f>
        <v>227116</v>
      </c>
    </row>
    <row r="62" spans="1:8" s="3" customFormat="1" ht="20.25" x14ac:dyDescent="0.3">
      <c r="A62" s="2"/>
      <c r="B62" s="2"/>
      <c r="C62" s="2"/>
      <c r="D62" s="2"/>
      <c r="E62" s="2"/>
      <c r="F62" s="2"/>
      <c r="G62" s="2"/>
      <c r="H62" s="19"/>
    </row>
    <row r="63" spans="1:8" s="3" customFormat="1" ht="20.25" x14ac:dyDescent="0.3">
      <c r="A63" s="2" t="s">
        <v>6</v>
      </c>
      <c r="B63" s="2"/>
      <c r="C63" s="2"/>
      <c r="D63" s="2"/>
      <c r="E63" s="2"/>
      <c r="F63" s="2"/>
      <c r="G63" s="2"/>
      <c r="H63" s="2"/>
    </row>
    <row r="64" spans="1:8" s="3" customFormat="1" ht="20.25" x14ac:dyDescent="0.3">
      <c r="A64" s="4" t="s">
        <v>38</v>
      </c>
      <c r="B64" s="1"/>
      <c r="C64" s="1"/>
      <c r="D64" s="1"/>
      <c r="E64" s="2"/>
      <c r="F64" s="2"/>
      <c r="G64" s="2"/>
      <c r="H64" s="2"/>
    </row>
    <row r="65" spans="1:8" s="3" customFormat="1" ht="21" thickBot="1" x14ac:dyDescent="0.35">
      <c r="A65" s="29" t="s">
        <v>39</v>
      </c>
      <c r="B65" s="29"/>
      <c r="C65" s="29"/>
      <c r="D65" s="29"/>
      <c r="E65" s="2"/>
      <c r="F65" s="2"/>
      <c r="G65" s="2"/>
      <c r="H65" s="16">
        <v>0</v>
      </c>
    </row>
    <row r="66" spans="1:8" s="3" customFormat="1" ht="21.75" thickTop="1" thickBot="1" x14ac:dyDescent="0.35">
      <c r="A66" s="1" t="s">
        <v>40</v>
      </c>
      <c r="B66" s="1"/>
      <c r="C66" s="1"/>
      <c r="D66" s="2"/>
      <c r="E66" s="2"/>
      <c r="F66" s="2"/>
      <c r="G66" s="2"/>
      <c r="H66" s="20">
        <f>SUM(H61-H65)</f>
        <v>227116</v>
      </c>
    </row>
    <row r="67" spans="1:8" s="3" customFormat="1" ht="21" thickTop="1" x14ac:dyDescent="0.3">
      <c r="A67" s="2"/>
      <c r="B67" s="2"/>
      <c r="C67" s="2"/>
      <c r="D67" s="2"/>
      <c r="E67" s="2"/>
      <c r="F67" s="2"/>
      <c r="G67" s="2"/>
      <c r="H67" s="19"/>
    </row>
    <row r="68" spans="1:8" s="3" customFormat="1" ht="20.25" x14ac:dyDescent="0.3">
      <c r="A68" s="2"/>
      <c r="B68" s="2"/>
      <c r="C68" s="2"/>
      <c r="D68" s="2"/>
      <c r="E68" s="2"/>
      <c r="F68" s="2"/>
      <c r="G68" s="2"/>
      <c r="H68" s="2"/>
    </row>
    <row r="69" spans="1:8" s="3" customFormat="1" ht="20.25" x14ac:dyDescent="0.3">
      <c r="A69" s="4" t="s">
        <v>41</v>
      </c>
      <c r="B69" s="1"/>
      <c r="C69" s="1"/>
      <c r="D69" s="2"/>
      <c r="E69" s="2"/>
      <c r="F69" s="2"/>
      <c r="G69" s="2"/>
      <c r="H69" s="2"/>
    </row>
    <row r="70" spans="1:8" s="3" customFormat="1" ht="20.25" x14ac:dyDescent="0.3">
      <c r="A70" s="29" t="s">
        <v>42</v>
      </c>
      <c r="B70" s="29"/>
      <c r="C70" s="29"/>
      <c r="D70" s="29"/>
      <c r="E70" s="2"/>
      <c r="F70" s="2"/>
      <c r="G70" s="2"/>
      <c r="H70" s="21">
        <v>186680</v>
      </c>
    </row>
    <row r="71" spans="1:8" s="3" customFormat="1" ht="21" thickBot="1" x14ac:dyDescent="0.35">
      <c r="A71" s="29" t="s">
        <v>43</v>
      </c>
      <c r="B71" s="29"/>
      <c r="C71" s="29"/>
      <c r="D71" s="29"/>
      <c r="E71" s="2"/>
      <c r="F71" s="2"/>
      <c r="G71" s="2"/>
      <c r="H71" s="21">
        <v>52936</v>
      </c>
    </row>
    <row r="72" spans="1:8" s="3" customFormat="1" ht="21" thickTop="1" x14ac:dyDescent="0.3">
      <c r="A72" s="2"/>
      <c r="B72" s="2"/>
      <c r="C72" s="2"/>
      <c r="D72" s="2"/>
      <c r="E72" s="2"/>
      <c r="F72" s="2"/>
      <c r="G72" s="2"/>
      <c r="H72" s="22">
        <f>SUM(H70:H71)</f>
        <v>239616</v>
      </c>
    </row>
    <row r="73" spans="1:8" s="3" customFormat="1" ht="21" thickBot="1" x14ac:dyDescent="0.35">
      <c r="A73" s="29" t="s">
        <v>44</v>
      </c>
      <c r="B73" s="29"/>
      <c r="C73" s="29"/>
      <c r="D73" s="29"/>
      <c r="E73" s="2"/>
      <c r="F73" s="2"/>
      <c r="G73" s="2"/>
      <c r="H73" s="23">
        <v>12500</v>
      </c>
    </row>
    <row r="74" spans="1:8" s="3" customFormat="1" ht="21.75" thickTop="1" thickBot="1" x14ac:dyDescent="0.35">
      <c r="A74" s="28" t="s">
        <v>45</v>
      </c>
      <c r="B74" s="28"/>
      <c r="C74" s="28"/>
      <c r="D74" s="28"/>
      <c r="E74" s="2"/>
      <c r="F74" s="2"/>
      <c r="G74" s="2"/>
      <c r="H74" s="24">
        <f>SUM(H72-H73)</f>
        <v>227116</v>
      </c>
    </row>
    <row r="75" spans="1:8" ht="15.75" thickTop="1" x14ac:dyDescent="0.25"/>
  </sheetData>
  <mergeCells count="25">
    <mergeCell ref="A30:B30"/>
    <mergeCell ref="A1:D1"/>
    <mergeCell ref="A4:C4"/>
    <mergeCell ref="A73:D73"/>
    <mergeCell ref="F4:H4"/>
    <mergeCell ref="A6:F6"/>
    <mergeCell ref="A18:C18"/>
    <mergeCell ref="A24:D24"/>
    <mergeCell ref="A27:B27"/>
    <mergeCell ref="A74:D74"/>
    <mergeCell ref="A57:D57"/>
    <mergeCell ref="G6:H6"/>
    <mergeCell ref="F40:H40"/>
    <mergeCell ref="A58:D58"/>
    <mergeCell ref="A65:D65"/>
    <mergeCell ref="A70:D70"/>
    <mergeCell ref="A71:D71"/>
    <mergeCell ref="G42:H42"/>
    <mergeCell ref="A45:D45"/>
    <mergeCell ref="A46:D46"/>
    <mergeCell ref="A47:D47"/>
    <mergeCell ref="A52:D52"/>
    <mergeCell ref="A53:D53"/>
    <mergeCell ref="A22:B22"/>
    <mergeCell ref="A29:E29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4"/>
  <sheetViews>
    <sheetView topLeftCell="A22" workbookViewId="0">
      <selection activeCell="I22" sqref="I1:S1048576"/>
    </sheetView>
  </sheetViews>
  <sheetFormatPr defaultRowHeight="15" x14ac:dyDescent="0.25"/>
  <cols>
    <col min="5" max="5" width="12.5703125" customWidth="1"/>
    <col min="6" max="8" width="14.140625" customWidth="1"/>
  </cols>
  <sheetData>
    <row r="1" spans="1:8" s="3" customFormat="1" ht="20.25" x14ac:dyDescent="0.3">
      <c r="A1" s="28" t="s">
        <v>46</v>
      </c>
      <c r="B1" s="28"/>
      <c r="C1" s="28"/>
      <c r="D1" s="28"/>
      <c r="E1" s="1"/>
      <c r="F1" s="1"/>
      <c r="G1" s="1"/>
      <c r="H1" s="2"/>
    </row>
    <row r="2" spans="1:8" s="3" customFormat="1" ht="20.25" x14ac:dyDescent="0.3">
      <c r="A2" s="1"/>
      <c r="B2" s="1"/>
      <c r="C2" s="1"/>
      <c r="D2" s="1"/>
      <c r="E2" s="1"/>
      <c r="F2" s="1"/>
      <c r="G2" s="1"/>
      <c r="H2" s="2"/>
    </row>
    <row r="3" spans="1:8" s="3" customFormat="1" ht="20.25" x14ac:dyDescent="0.3">
      <c r="A3" s="1"/>
      <c r="B3" s="1"/>
      <c r="C3" s="1"/>
      <c r="D3" s="1"/>
      <c r="E3" s="1"/>
      <c r="F3" s="1"/>
      <c r="G3" s="1"/>
      <c r="H3" s="2"/>
    </row>
    <row r="4" spans="1:8" s="3" customFormat="1" ht="20.25" x14ac:dyDescent="0.3">
      <c r="A4" s="30" t="s">
        <v>1</v>
      </c>
      <c r="B4" s="30"/>
      <c r="C4" s="30"/>
      <c r="D4" s="1"/>
      <c r="E4" s="1"/>
      <c r="F4" s="34" t="s">
        <v>47</v>
      </c>
      <c r="G4" s="34"/>
      <c r="H4" s="34"/>
    </row>
    <row r="5" spans="1:8" s="3" customFormat="1" ht="20.25" x14ac:dyDescent="0.3">
      <c r="A5" s="4"/>
      <c r="B5" s="1"/>
      <c r="C5" s="1"/>
      <c r="D5" s="1"/>
      <c r="E5" s="1"/>
      <c r="F5" s="1"/>
      <c r="G5" s="5"/>
      <c r="H5" s="6"/>
    </row>
    <row r="6" spans="1:8" s="3" customFormat="1" ht="20.25" x14ac:dyDescent="0.3">
      <c r="A6" s="30" t="s">
        <v>3</v>
      </c>
      <c r="B6" s="30"/>
      <c r="C6" s="30"/>
      <c r="D6" s="30"/>
      <c r="E6" s="30"/>
      <c r="F6" s="30"/>
      <c r="G6" s="31" t="s">
        <v>48</v>
      </c>
      <c r="H6" s="31"/>
    </row>
    <row r="7" spans="1:8" s="3" customFormat="1" ht="20.25" x14ac:dyDescent="0.3">
      <c r="A7" s="8"/>
      <c r="B7" s="9"/>
      <c r="C7" s="9"/>
      <c r="D7" s="9"/>
      <c r="E7" s="9"/>
      <c r="F7" s="9"/>
      <c r="G7" s="7"/>
      <c r="H7" s="10"/>
    </row>
    <row r="8" spans="1:8" s="3" customFormat="1" ht="20.25" x14ac:dyDescent="0.3">
      <c r="A8" s="8"/>
      <c r="B8" s="9"/>
      <c r="C8" s="9"/>
      <c r="D8" s="9"/>
      <c r="E8" s="9"/>
      <c r="F8" s="9"/>
      <c r="G8" s="7"/>
      <c r="H8" s="10"/>
    </row>
    <row r="9" spans="1:8" s="3" customFormat="1" ht="20.25" x14ac:dyDescent="0.3">
      <c r="A9" s="4"/>
      <c r="B9" s="2"/>
      <c r="C9" s="2"/>
      <c r="D9" s="2"/>
      <c r="E9" s="2"/>
      <c r="F9" s="2"/>
      <c r="G9" s="2"/>
      <c r="H9" s="2"/>
    </row>
    <row r="10" spans="1:8" s="3" customFormat="1" ht="20.25" x14ac:dyDescent="0.3">
      <c r="A10" s="2"/>
      <c r="B10" s="2"/>
      <c r="C10" s="2"/>
      <c r="D10" s="2"/>
      <c r="E10" s="2"/>
      <c r="F10" s="11" t="s">
        <v>5</v>
      </c>
      <c r="G10" s="2" t="s">
        <v>6</v>
      </c>
      <c r="H10" s="11" t="s">
        <v>5</v>
      </c>
    </row>
    <row r="11" spans="1:8" s="3" customFormat="1" ht="20.25" x14ac:dyDescent="0.3">
      <c r="A11" s="1" t="s">
        <v>7</v>
      </c>
      <c r="B11" s="2"/>
      <c r="C11" s="2"/>
      <c r="D11" s="2"/>
      <c r="E11" s="2"/>
      <c r="F11" s="2"/>
      <c r="G11" s="2"/>
      <c r="H11" s="12">
        <v>880000</v>
      </c>
    </row>
    <row r="12" spans="1:8" s="3" customFormat="1" ht="20.25" x14ac:dyDescent="0.3">
      <c r="A12" s="2"/>
      <c r="B12" s="2"/>
      <c r="C12" s="2"/>
      <c r="D12" s="2"/>
      <c r="E12" s="2"/>
      <c r="F12" s="2"/>
      <c r="G12" s="2"/>
      <c r="H12" s="2"/>
    </row>
    <row r="13" spans="1:8" s="3" customFormat="1" ht="20.25" x14ac:dyDescent="0.3">
      <c r="A13" s="26" t="s">
        <v>8</v>
      </c>
      <c r="B13" s="26"/>
      <c r="C13" s="25"/>
      <c r="D13" s="2"/>
      <c r="E13" s="2"/>
      <c r="F13" s="2"/>
      <c r="G13" s="2"/>
      <c r="H13" s="2"/>
    </row>
    <row r="14" spans="1:8" s="3" customFormat="1" ht="20.25" x14ac:dyDescent="0.3">
      <c r="A14" s="2" t="s">
        <v>9</v>
      </c>
      <c r="B14" s="2"/>
      <c r="C14" s="2"/>
      <c r="D14" s="2"/>
      <c r="E14" s="2"/>
      <c r="F14" s="10">
        <v>44000</v>
      </c>
      <c r="G14" s="2"/>
      <c r="H14" s="13"/>
    </row>
    <row r="15" spans="1:8" s="3" customFormat="1" ht="21" thickBot="1" x14ac:dyDescent="0.35">
      <c r="A15" s="2" t="s">
        <v>10</v>
      </c>
      <c r="B15" s="2"/>
      <c r="C15" s="2"/>
      <c r="D15" s="2"/>
      <c r="E15" s="2"/>
      <c r="F15" s="14">
        <v>370000</v>
      </c>
      <c r="G15" s="2"/>
      <c r="H15" s="2"/>
    </row>
    <row r="16" spans="1:8" s="3" customFormat="1" ht="21" thickTop="1" x14ac:dyDescent="0.3">
      <c r="A16" s="13"/>
      <c r="B16" s="2"/>
      <c r="C16" s="2"/>
      <c r="D16" s="2"/>
      <c r="E16" s="2"/>
      <c r="F16" s="10">
        <f>SUM(F14:F15)</f>
        <v>414000</v>
      </c>
      <c r="G16" s="2"/>
      <c r="H16" s="2"/>
    </row>
    <row r="17" spans="1:8" s="3" customFormat="1" ht="21" thickBot="1" x14ac:dyDescent="0.35">
      <c r="A17" s="2" t="s">
        <v>11</v>
      </c>
      <c r="B17" s="2"/>
      <c r="C17" s="2"/>
      <c r="D17" s="2"/>
      <c r="E17" s="2"/>
      <c r="F17" s="14">
        <v>40000</v>
      </c>
      <c r="G17" s="2"/>
      <c r="H17" s="14">
        <f>SUM(F16-F17)</f>
        <v>374000</v>
      </c>
    </row>
    <row r="18" spans="1:8" s="3" customFormat="1" ht="21.75" thickTop="1" thickBot="1" x14ac:dyDescent="0.35">
      <c r="A18" s="28" t="s">
        <v>12</v>
      </c>
      <c r="B18" s="28"/>
      <c r="C18" s="28"/>
      <c r="D18" s="2"/>
      <c r="E18" s="2"/>
      <c r="F18" s="2"/>
      <c r="G18" s="2"/>
      <c r="H18" s="15">
        <f>SUM(H11-H17)</f>
        <v>506000</v>
      </c>
    </row>
    <row r="19" spans="1:8" s="3" customFormat="1" ht="21" thickTop="1" x14ac:dyDescent="0.3">
      <c r="A19" s="2"/>
      <c r="B19" s="2"/>
      <c r="C19" s="2"/>
      <c r="D19" s="2"/>
      <c r="E19" s="2"/>
      <c r="F19" s="2"/>
      <c r="G19" s="2"/>
      <c r="H19" s="16"/>
    </row>
    <row r="20" spans="1:8" s="3" customFormat="1" ht="20.25" x14ac:dyDescent="0.3">
      <c r="A20" s="2"/>
      <c r="B20" s="2"/>
      <c r="C20" s="2"/>
      <c r="D20" s="2"/>
      <c r="E20" s="2"/>
      <c r="F20" s="2"/>
      <c r="G20" s="2"/>
      <c r="H20" s="16"/>
    </row>
    <row r="21" spans="1:8" s="3" customFormat="1" ht="20.25" x14ac:dyDescent="0.3">
      <c r="A21" s="2"/>
      <c r="B21" s="2"/>
      <c r="C21" s="2"/>
      <c r="D21" s="2"/>
      <c r="E21" s="2"/>
      <c r="F21" s="2"/>
      <c r="G21" s="2"/>
      <c r="H21" s="16"/>
    </row>
    <row r="22" spans="1:8" s="3" customFormat="1" ht="20.25" x14ac:dyDescent="0.3">
      <c r="A22" s="30" t="s">
        <v>13</v>
      </c>
      <c r="B22" s="30"/>
      <c r="C22" s="2"/>
      <c r="D22" s="2"/>
      <c r="E22" s="2"/>
      <c r="F22" s="2"/>
      <c r="G22" s="2"/>
      <c r="H22" s="2"/>
    </row>
    <row r="23" spans="1:8" s="3" customFormat="1" ht="20.25" x14ac:dyDescent="0.3">
      <c r="A23" s="2" t="s">
        <v>49</v>
      </c>
      <c r="B23" s="2"/>
      <c r="C23" s="2"/>
      <c r="D23" s="2"/>
      <c r="E23" s="2"/>
      <c r="F23" s="10">
        <v>190000</v>
      </c>
      <c r="G23" s="13"/>
      <c r="H23" s="2"/>
    </row>
    <row r="24" spans="1:8" s="3" customFormat="1" ht="20.25" x14ac:dyDescent="0.3">
      <c r="A24" s="29" t="s">
        <v>15</v>
      </c>
      <c r="B24" s="29"/>
      <c r="C24" s="29"/>
      <c r="D24" s="29"/>
      <c r="E24" s="2"/>
      <c r="F24" s="10">
        <v>4095</v>
      </c>
      <c r="G24" s="13"/>
      <c r="H24" s="2"/>
    </row>
    <row r="25" spans="1:8" s="3" customFormat="1" ht="20.25" x14ac:dyDescent="0.3">
      <c r="A25" s="2" t="s">
        <v>14</v>
      </c>
      <c r="B25" s="2"/>
      <c r="C25" s="2"/>
      <c r="D25" s="2"/>
      <c r="E25" s="2"/>
      <c r="F25" s="10">
        <v>20000</v>
      </c>
      <c r="G25" s="2"/>
      <c r="H25" s="2"/>
    </row>
    <row r="26" spans="1:8" s="3" customFormat="1" ht="20.25" x14ac:dyDescent="0.3">
      <c r="A26" s="2" t="s">
        <v>16</v>
      </c>
      <c r="B26" s="2"/>
      <c r="C26" s="2"/>
      <c r="D26" s="2"/>
      <c r="E26" s="2"/>
      <c r="F26" s="10">
        <v>25000</v>
      </c>
      <c r="G26" s="2"/>
      <c r="H26" s="2"/>
    </row>
    <row r="27" spans="1:8" s="3" customFormat="1" ht="20.25" x14ac:dyDescent="0.3">
      <c r="A27" s="29" t="s">
        <v>17</v>
      </c>
      <c r="B27" s="29"/>
      <c r="C27" s="2"/>
      <c r="D27" s="2"/>
      <c r="E27" s="2"/>
      <c r="F27" s="10">
        <v>12500</v>
      </c>
      <c r="G27" s="2"/>
      <c r="H27" s="2"/>
    </row>
    <row r="28" spans="1:8" s="3" customFormat="1" ht="20.25" x14ac:dyDescent="0.3">
      <c r="A28" s="29" t="s">
        <v>18</v>
      </c>
      <c r="B28" s="29"/>
      <c r="C28" s="29"/>
      <c r="D28" s="29"/>
      <c r="E28" s="2"/>
      <c r="F28" s="10">
        <v>2340</v>
      </c>
      <c r="G28" s="2"/>
      <c r="H28" s="2"/>
    </row>
    <row r="29" spans="1:8" s="3" customFormat="1" ht="20.25" x14ac:dyDescent="0.3">
      <c r="A29" s="2" t="s">
        <v>50</v>
      </c>
      <c r="B29" s="2"/>
      <c r="C29" s="2"/>
      <c r="D29" s="2"/>
      <c r="E29" s="2"/>
      <c r="F29" s="10">
        <v>11250</v>
      </c>
      <c r="G29" s="2"/>
      <c r="H29" s="2"/>
    </row>
    <row r="30" spans="1:8" s="3" customFormat="1" ht="21" thickBot="1" x14ac:dyDescent="0.35">
      <c r="A30" s="29" t="s">
        <v>51</v>
      </c>
      <c r="B30" s="29"/>
      <c r="C30" s="29"/>
      <c r="D30" s="29"/>
      <c r="E30" s="29"/>
      <c r="F30" s="14">
        <v>8640</v>
      </c>
      <c r="G30" s="2"/>
      <c r="H30" s="2">
        <f>SUM(F23:F30)</f>
        <v>273825</v>
      </c>
    </row>
    <row r="31" spans="1:8" s="3" customFormat="1" ht="21.75" thickTop="1" thickBot="1" x14ac:dyDescent="0.35">
      <c r="A31" s="28" t="s">
        <v>21</v>
      </c>
      <c r="B31" s="28"/>
      <c r="C31" s="2"/>
      <c r="D31" s="2"/>
      <c r="E31" s="2"/>
      <c r="F31" s="13"/>
      <c r="G31" s="13"/>
      <c r="H31" s="15">
        <f>SUM(H18-H30)</f>
        <v>232175</v>
      </c>
    </row>
    <row r="32" spans="1:8" s="3" customFormat="1" ht="21" thickTop="1" x14ac:dyDescent="0.3">
      <c r="A32" s="27"/>
      <c r="B32" s="27"/>
      <c r="C32" s="2"/>
      <c r="D32" s="2"/>
      <c r="E32" s="2"/>
      <c r="F32" s="13"/>
      <c r="G32" s="13"/>
      <c r="H32" s="12"/>
    </row>
    <row r="33" spans="1:8" s="3" customFormat="1" ht="20.25" x14ac:dyDescent="0.3">
      <c r="A33" s="2"/>
      <c r="B33" s="2"/>
      <c r="C33" s="2"/>
      <c r="D33" s="2"/>
      <c r="E33" s="2"/>
      <c r="F33" s="2"/>
      <c r="G33" s="2"/>
      <c r="H33" s="13"/>
    </row>
    <row r="39" spans="1:8" s="3" customFormat="1" ht="20.25" x14ac:dyDescent="0.3">
      <c r="A39" s="26" t="s">
        <v>1</v>
      </c>
      <c r="B39" s="26"/>
      <c r="C39" s="26"/>
      <c r="D39" s="6"/>
      <c r="E39" s="6"/>
      <c r="F39" s="32" t="s">
        <v>47</v>
      </c>
      <c r="G39" s="32"/>
      <c r="H39" s="32"/>
    </row>
    <row r="40" spans="1:8" s="3" customFormat="1" ht="20.25" x14ac:dyDescent="0.3">
      <c r="A40" s="4"/>
      <c r="B40" s="4"/>
      <c r="C40" s="4"/>
      <c r="D40" s="1"/>
      <c r="E40" s="1"/>
      <c r="F40" s="1"/>
      <c r="G40" s="1"/>
      <c r="H40" s="2"/>
    </row>
    <row r="41" spans="1:8" s="3" customFormat="1" ht="20.25" x14ac:dyDescent="0.3">
      <c r="A41" s="1" t="s">
        <v>22</v>
      </c>
      <c r="B41" s="1"/>
      <c r="C41" s="1"/>
      <c r="D41" s="1"/>
      <c r="E41" s="1"/>
      <c r="F41" s="6"/>
      <c r="G41" s="33" t="s">
        <v>48</v>
      </c>
      <c r="H41" s="33"/>
    </row>
    <row r="42" spans="1:8" s="3" customFormat="1" ht="20.25" x14ac:dyDescent="0.3">
      <c r="A42" s="1"/>
      <c r="B42" s="1"/>
      <c r="C42" s="1"/>
      <c r="D42" s="1"/>
      <c r="E42" s="1"/>
      <c r="F42" s="1"/>
      <c r="G42" s="1"/>
      <c r="H42" s="2"/>
    </row>
    <row r="43" spans="1:8" s="3" customFormat="1" ht="20.25" x14ac:dyDescent="0.3">
      <c r="A43" s="4" t="s">
        <v>23</v>
      </c>
      <c r="B43" s="1"/>
      <c r="C43" s="1"/>
      <c r="D43" s="2"/>
      <c r="E43" s="2"/>
      <c r="F43" s="11" t="s">
        <v>24</v>
      </c>
      <c r="G43" s="11" t="s">
        <v>25</v>
      </c>
      <c r="H43" s="11" t="s">
        <v>26</v>
      </c>
    </row>
    <row r="44" spans="1:8" s="3" customFormat="1" ht="20.25" x14ac:dyDescent="0.3">
      <c r="A44" s="29" t="s">
        <v>27</v>
      </c>
      <c r="B44" s="29"/>
      <c r="C44" s="29"/>
      <c r="D44" s="29"/>
      <c r="E44" s="2"/>
      <c r="F44" s="2"/>
      <c r="G44" s="2"/>
      <c r="H44" s="16">
        <v>250000</v>
      </c>
    </row>
    <row r="45" spans="1:8" s="3" customFormat="1" ht="20.25" x14ac:dyDescent="0.3">
      <c r="A45" s="29" t="s">
        <v>28</v>
      </c>
      <c r="B45" s="29"/>
      <c r="C45" s="29"/>
      <c r="D45" s="29"/>
      <c r="E45" s="2"/>
      <c r="F45" s="2">
        <v>75000</v>
      </c>
      <c r="G45" s="2">
        <v>11250</v>
      </c>
      <c r="H45" s="16">
        <f>(F45-G45)</f>
        <v>63750</v>
      </c>
    </row>
    <row r="46" spans="1:8" s="3" customFormat="1" ht="21" thickBot="1" x14ac:dyDescent="0.35">
      <c r="A46" s="29" t="s">
        <v>52</v>
      </c>
      <c r="B46" s="29"/>
      <c r="C46" s="29"/>
      <c r="D46" s="29"/>
      <c r="E46" s="2"/>
      <c r="F46" s="2">
        <v>43200</v>
      </c>
      <c r="G46" s="2">
        <v>8640</v>
      </c>
      <c r="H46" s="16">
        <f>(F46-G46)</f>
        <v>34560</v>
      </c>
    </row>
    <row r="47" spans="1:8" s="3" customFormat="1" ht="21" thickTop="1" x14ac:dyDescent="0.3">
      <c r="A47" s="2"/>
      <c r="B47" s="2"/>
      <c r="C47" s="2"/>
      <c r="D47" s="2"/>
      <c r="E47" s="2"/>
      <c r="F47" s="2"/>
      <c r="G47" s="2"/>
      <c r="H47" s="17">
        <f>SUM(H44:H46)</f>
        <v>348310</v>
      </c>
    </row>
    <row r="48" spans="1:8" s="3" customFormat="1" ht="20.25" x14ac:dyDescent="0.3">
      <c r="A48" s="2"/>
      <c r="B48" s="2"/>
      <c r="C48" s="2"/>
      <c r="D48" s="2"/>
      <c r="E48" s="2"/>
      <c r="F48" s="2"/>
      <c r="G48" s="2"/>
      <c r="H48" s="16"/>
    </row>
    <row r="49" spans="1:8" s="3" customFormat="1" ht="20.25" x14ac:dyDescent="0.3">
      <c r="A49" s="2"/>
      <c r="B49" s="2"/>
      <c r="C49" s="2"/>
      <c r="D49" s="2"/>
      <c r="E49" s="2"/>
      <c r="F49" s="2"/>
      <c r="G49" s="2"/>
      <c r="H49" s="2"/>
    </row>
    <row r="50" spans="1:8" s="3" customFormat="1" ht="20.25" x14ac:dyDescent="0.3">
      <c r="A50" s="4" t="s">
        <v>30</v>
      </c>
      <c r="B50" s="1"/>
      <c r="C50" s="1"/>
      <c r="D50" s="1"/>
      <c r="E50" s="2"/>
      <c r="F50" s="2"/>
      <c r="G50" s="2"/>
      <c r="H50" s="2"/>
    </row>
    <row r="51" spans="1:8" s="3" customFormat="1" ht="20.25" x14ac:dyDescent="0.3">
      <c r="A51" s="29" t="s">
        <v>31</v>
      </c>
      <c r="B51" s="29"/>
      <c r="C51" s="29"/>
      <c r="D51" s="29"/>
      <c r="E51" s="2"/>
      <c r="F51" s="2"/>
      <c r="G51" s="2">
        <v>40000</v>
      </c>
      <c r="H51" s="2"/>
    </row>
    <row r="52" spans="1:8" s="3" customFormat="1" ht="21" thickBot="1" x14ac:dyDescent="0.35">
      <c r="A52" s="29" t="s">
        <v>32</v>
      </c>
      <c r="B52" s="29"/>
      <c r="C52" s="29"/>
      <c r="D52" s="29"/>
      <c r="E52" s="2"/>
      <c r="F52" s="2"/>
      <c r="G52" s="16">
        <v>224000</v>
      </c>
      <c r="H52" s="2"/>
    </row>
    <row r="53" spans="1:8" s="3" customFormat="1" ht="21" thickTop="1" x14ac:dyDescent="0.3">
      <c r="A53" s="2"/>
      <c r="B53" s="2"/>
      <c r="C53" s="2"/>
      <c r="D53" s="2"/>
      <c r="E53" s="2"/>
      <c r="F53" s="2"/>
      <c r="G53" s="17">
        <f>SUM(G51:G52)</f>
        <v>264000</v>
      </c>
      <c r="H53" s="2"/>
    </row>
    <row r="54" spans="1:8" s="3" customFormat="1" ht="20.25" x14ac:dyDescent="0.3">
      <c r="A54" s="2"/>
      <c r="B54" s="2"/>
      <c r="C54" s="2"/>
      <c r="D54" s="2"/>
      <c r="E54" s="2"/>
      <c r="F54" s="2"/>
      <c r="G54" s="16"/>
      <c r="H54" s="2"/>
    </row>
    <row r="55" spans="1:8" s="3" customFormat="1" ht="20.25" x14ac:dyDescent="0.3">
      <c r="A55" s="4" t="s">
        <v>33</v>
      </c>
      <c r="B55" s="1"/>
      <c r="C55" s="1"/>
      <c r="D55" s="1"/>
      <c r="E55" s="2"/>
      <c r="F55" s="2"/>
      <c r="G55" s="2"/>
      <c r="H55" s="2"/>
    </row>
    <row r="56" spans="1:8" s="3" customFormat="1" ht="20.25" x14ac:dyDescent="0.3">
      <c r="A56" s="29" t="s">
        <v>34</v>
      </c>
      <c r="B56" s="30"/>
      <c r="C56" s="30"/>
      <c r="D56" s="30"/>
      <c r="E56" s="2"/>
      <c r="F56" s="2">
        <v>15000</v>
      </c>
      <c r="G56" s="2"/>
      <c r="H56" s="2"/>
    </row>
    <row r="57" spans="1:8" s="3" customFormat="1" ht="21" thickBot="1" x14ac:dyDescent="0.35">
      <c r="A57" s="29" t="s">
        <v>35</v>
      </c>
      <c r="B57" s="29"/>
      <c r="C57" s="29"/>
      <c r="D57" s="29"/>
      <c r="E57" s="2"/>
      <c r="F57" s="16">
        <v>93750</v>
      </c>
      <c r="G57" s="2"/>
      <c r="H57" s="16"/>
    </row>
    <row r="58" spans="1:8" s="3" customFormat="1" ht="21" thickTop="1" x14ac:dyDescent="0.3">
      <c r="A58" s="25"/>
      <c r="B58" s="25"/>
      <c r="C58" s="25"/>
      <c r="D58" s="25"/>
      <c r="E58" s="2"/>
      <c r="F58" s="17">
        <f>SUM(F56:F57)</f>
        <v>108750</v>
      </c>
      <c r="G58" s="2"/>
      <c r="H58" s="16"/>
    </row>
    <row r="59" spans="1:8" s="3" customFormat="1" ht="21" thickBot="1" x14ac:dyDescent="0.35">
      <c r="A59" s="2" t="s">
        <v>36</v>
      </c>
      <c r="B59" s="2"/>
      <c r="C59" s="2"/>
      <c r="D59" s="2"/>
      <c r="E59" s="2"/>
      <c r="F59" s="2"/>
      <c r="G59" s="2"/>
      <c r="H59" s="18">
        <f>SUM(G53-F58)</f>
        <v>155250</v>
      </c>
    </row>
    <row r="60" spans="1:8" s="3" customFormat="1" ht="21" thickTop="1" x14ac:dyDescent="0.3">
      <c r="A60" s="2" t="s">
        <v>37</v>
      </c>
      <c r="B60" s="2"/>
      <c r="C60" s="2"/>
      <c r="D60" s="2"/>
      <c r="E60" s="2"/>
      <c r="F60" s="2"/>
      <c r="G60" s="2"/>
      <c r="H60" s="16">
        <f>SUM(H47:H59)</f>
        <v>503560</v>
      </c>
    </row>
    <row r="61" spans="1:8" s="3" customFormat="1" ht="20.25" x14ac:dyDescent="0.3">
      <c r="A61" s="2"/>
      <c r="B61" s="2"/>
      <c r="C61" s="2"/>
      <c r="D61" s="2"/>
      <c r="E61" s="2"/>
      <c r="F61" s="2"/>
      <c r="G61" s="2"/>
      <c r="H61" s="19"/>
    </row>
    <row r="62" spans="1:8" s="3" customFormat="1" ht="20.25" x14ac:dyDescent="0.3">
      <c r="A62" s="2" t="s">
        <v>6</v>
      </c>
      <c r="B62" s="2"/>
      <c r="C62" s="2"/>
      <c r="D62" s="2"/>
      <c r="E62" s="2"/>
      <c r="F62" s="2"/>
      <c r="G62" s="2"/>
      <c r="H62" s="2"/>
    </row>
    <row r="63" spans="1:8" s="3" customFormat="1" ht="20.25" x14ac:dyDescent="0.3">
      <c r="A63" s="4" t="s">
        <v>38</v>
      </c>
      <c r="B63" s="1"/>
      <c r="C63" s="1"/>
      <c r="D63" s="1"/>
      <c r="E63" s="2"/>
      <c r="F63" s="2"/>
      <c r="G63" s="2"/>
      <c r="H63" s="2"/>
    </row>
    <row r="64" spans="1:8" s="3" customFormat="1" ht="21" thickBot="1" x14ac:dyDescent="0.35">
      <c r="A64" s="29" t="s">
        <v>39</v>
      </c>
      <c r="B64" s="29"/>
      <c r="C64" s="29"/>
      <c r="D64" s="29"/>
      <c r="E64" s="2"/>
      <c r="F64" s="2"/>
      <c r="G64" s="2"/>
      <c r="H64" s="16">
        <v>0</v>
      </c>
    </row>
    <row r="65" spans="1:8" s="3" customFormat="1" ht="21.75" thickTop="1" thickBot="1" x14ac:dyDescent="0.35">
      <c r="A65" s="1" t="s">
        <v>40</v>
      </c>
      <c r="B65" s="1"/>
      <c r="C65" s="1"/>
      <c r="D65" s="2"/>
      <c r="E65" s="2"/>
      <c r="F65" s="2"/>
      <c r="G65" s="2"/>
      <c r="H65" s="20">
        <f>SUM(H60-H64)</f>
        <v>503560</v>
      </c>
    </row>
    <row r="66" spans="1:8" s="3" customFormat="1" ht="21" thickTop="1" x14ac:dyDescent="0.3">
      <c r="A66" s="2"/>
      <c r="B66" s="2"/>
      <c r="C66" s="2"/>
      <c r="D66" s="2"/>
      <c r="E66" s="2"/>
      <c r="F66" s="2"/>
      <c r="G66" s="2"/>
      <c r="H66" s="19"/>
    </row>
    <row r="67" spans="1:8" s="3" customFormat="1" ht="20.25" x14ac:dyDescent="0.3">
      <c r="A67" s="2"/>
      <c r="B67" s="2"/>
      <c r="C67" s="2"/>
      <c r="D67" s="2"/>
      <c r="E67" s="2"/>
      <c r="F67" s="2"/>
      <c r="G67" s="2"/>
      <c r="H67" s="2"/>
    </row>
    <row r="68" spans="1:8" s="3" customFormat="1" ht="20.25" x14ac:dyDescent="0.3">
      <c r="A68" s="4" t="s">
        <v>41</v>
      </c>
      <c r="B68" s="1"/>
      <c r="C68" s="1"/>
      <c r="D68" s="2"/>
      <c r="E68" s="2"/>
      <c r="F68" s="2"/>
      <c r="G68" s="2"/>
      <c r="H68" s="2"/>
    </row>
    <row r="69" spans="1:8" s="3" customFormat="1" ht="20.25" x14ac:dyDescent="0.3">
      <c r="A69" s="29" t="s">
        <v>42</v>
      </c>
      <c r="B69" s="29"/>
      <c r="C69" s="29"/>
      <c r="D69" s="29"/>
      <c r="E69" s="2"/>
      <c r="F69" s="2"/>
      <c r="G69" s="2"/>
      <c r="H69" s="21">
        <v>275385</v>
      </c>
    </row>
    <row r="70" spans="1:8" s="3" customFormat="1" ht="21" thickBot="1" x14ac:dyDescent="0.35">
      <c r="A70" s="29" t="s">
        <v>43</v>
      </c>
      <c r="B70" s="29"/>
      <c r="C70" s="29"/>
      <c r="D70" s="29"/>
      <c r="E70" s="2"/>
      <c r="F70" s="2"/>
      <c r="G70" s="2"/>
      <c r="H70" s="21">
        <v>232175</v>
      </c>
    </row>
    <row r="71" spans="1:8" s="3" customFormat="1" ht="21" thickTop="1" x14ac:dyDescent="0.3">
      <c r="A71" s="2"/>
      <c r="B71" s="2"/>
      <c r="C71" s="2"/>
      <c r="D71" s="2"/>
      <c r="E71" s="2"/>
      <c r="F71" s="2"/>
      <c r="G71" s="2"/>
      <c r="H71" s="22">
        <f>SUM(H69:H70)</f>
        <v>507560</v>
      </c>
    </row>
    <row r="72" spans="1:8" s="3" customFormat="1" ht="21" thickBot="1" x14ac:dyDescent="0.35">
      <c r="A72" s="29" t="s">
        <v>44</v>
      </c>
      <c r="B72" s="29"/>
      <c r="C72" s="29"/>
      <c r="D72" s="29"/>
      <c r="E72" s="2"/>
      <c r="F72" s="2"/>
      <c r="G72" s="2"/>
      <c r="H72" s="23">
        <v>4000</v>
      </c>
    </row>
    <row r="73" spans="1:8" s="3" customFormat="1" ht="21.75" thickTop="1" thickBot="1" x14ac:dyDescent="0.35">
      <c r="A73" s="28" t="s">
        <v>45</v>
      </c>
      <c r="B73" s="28"/>
      <c r="C73" s="28"/>
      <c r="D73" s="28"/>
      <c r="E73" s="2"/>
      <c r="F73" s="2"/>
      <c r="G73" s="2"/>
      <c r="H73" s="24">
        <f>SUM(H71-H72)</f>
        <v>503560</v>
      </c>
    </row>
    <row r="74" spans="1:8" ht="15.75" thickTop="1" x14ac:dyDescent="0.25"/>
  </sheetData>
  <mergeCells count="26">
    <mergeCell ref="F39:H39"/>
    <mergeCell ref="A1:D1"/>
    <mergeCell ref="A4:C4"/>
    <mergeCell ref="F4:H4"/>
    <mergeCell ref="A6:F6"/>
    <mergeCell ref="G6:H6"/>
    <mergeCell ref="A18:C18"/>
    <mergeCell ref="A22:B22"/>
    <mergeCell ref="A24:D24"/>
    <mergeCell ref="A27:B27"/>
    <mergeCell ref="A30:E30"/>
    <mergeCell ref="A31:B31"/>
    <mergeCell ref="G41:H41"/>
    <mergeCell ref="A44:D44"/>
    <mergeCell ref="A45:D45"/>
    <mergeCell ref="A46:D46"/>
    <mergeCell ref="A51:D51"/>
    <mergeCell ref="A73:D73"/>
    <mergeCell ref="A28:D28"/>
    <mergeCell ref="A56:D56"/>
    <mergeCell ref="A57:D57"/>
    <mergeCell ref="A64:D64"/>
    <mergeCell ref="A69:D69"/>
    <mergeCell ref="A70:D70"/>
    <mergeCell ref="A72:D72"/>
    <mergeCell ref="A52:D52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5"/>
  <sheetViews>
    <sheetView topLeftCell="A13" workbookViewId="0">
      <selection activeCell="I13" sqref="I1:S1048576"/>
    </sheetView>
  </sheetViews>
  <sheetFormatPr defaultRowHeight="15" x14ac:dyDescent="0.25"/>
  <cols>
    <col min="5" max="5" width="12.5703125" customWidth="1"/>
    <col min="6" max="6" width="14.140625" customWidth="1"/>
    <col min="7" max="7" width="13.28515625" customWidth="1"/>
    <col min="8" max="8" width="14.140625" customWidth="1"/>
  </cols>
  <sheetData>
    <row r="1" spans="1:8" s="3" customFormat="1" ht="20.25" x14ac:dyDescent="0.3">
      <c r="A1" s="28" t="s">
        <v>53</v>
      </c>
      <c r="B1" s="28"/>
      <c r="C1" s="28"/>
      <c r="D1" s="28"/>
      <c r="E1" s="1"/>
      <c r="F1" s="1"/>
      <c r="G1" s="1"/>
      <c r="H1" s="2"/>
    </row>
    <row r="2" spans="1:8" s="3" customFormat="1" ht="20.25" x14ac:dyDescent="0.3">
      <c r="A2" s="1"/>
      <c r="B2" s="1"/>
      <c r="C2" s="1"/>
      <c r="D2" s="1"/>
      <c r="E2" s="1"/>
      <c r="F2" s="1"/>
      <c r="G2" s="1"/>
      <c r="H2" s="2"/>
    </row>
    <row r="3" spans="1:8" s="3" customFormat="1" ht="20.25" x14ac:dyDescent="0.3">
      <c r="A3" s="1"/>
      <c r="B3" s="1"/>
      <c r="C3" s="1"/>
      <c r="D3" s="1"/>
      <c r="E3" s="1"/>
      <c r="F3" s="1"/>
      <c r="G3" s="1"/>
      <c r="H3" s="2"/>
    </row>
    <row r="4" spans="1:8" s="3" customFormat="1" ht="20.25" x14ac:dyDescent="0.3">
      <c r="A4" s="30" t="s">
        <v>1</v>
      </c>
      <c r="B4" s="30"/>
      <c r="C4" s="30"/>
      <c r="D4" s="1"/>
      <c r="E4" s="1"/>
      <c r="F4" s="34" t="s">
        <v>54</v>
      </c>
      <c r="G4" s="34"/>
      <c r="H4" s="34"/>
    </row>
    <row r="5" spans="1:8" s="3" customFormat="1" ht="20.25" x14ac:dyDescent="0.3">
      <c r="A5" s="4"/>
      <c r="B5" s="1"/>
      <c r="C5" s="1"/>
      <c r="D5" s="1"/>
      <c r="E5" s="1"/>
      <c r="F5" s="1"/>
      <c r="G5" s="5"/>
      <c r="H5" s="6"/>
    </row>
    <row r="6" spans="1:8" s="3" customFormat="1" ht="20.25" x14ac:dyDescent="0.3">
      <c r="A6" s="30" t="s">
        <v>3</v>
      </c>
      <c r="B6" s="30"/>
      <c r="C6" s="30"/>
      <c r="D6" s="30"/>
      <c r="E6" s="30"/>
      <c r="F6" s="30"/>
      <c r="G6" s="31" t="s">
        <v>55</v>
      </c>
      <c r="H6" s="31"/>
    </row>
    <row r="7" spans="1:8" s="3" customFormat="1" ht="20.25" x14ac:dyDescent="0.3">
      <c r="A7" s="8"/>
      <c r="B7" s="9"/>
      <c r="C7" s="9"/>
      <c r="D7" s="9"/>
      <c r="E7" s="9"/>
      <c r="F7" s="9"/>
      <c r="G7" s="7"/>
      <c r="H7" s="10"/>
    </row>
    <row r="8" spans="1:8" s="3" customFormat="1" ht="20.25" x14ac:dyDescent="0.3">
      <c r="A8" s="8"/>
      <c r="B8" s="9"/>
      <c r="C8" s="9"/>
      <c r="D8" s="9"/>
      <c r="E8" s="9"/>
      <c r="F8" s="9"/>
      <c r="G8" s="7"/>
      <c r="H8" s="10"/>
    </row>
    <row r="9" spans="1:8" s="3" customFormat="1" ht="20.25" x14ac:dyDescent="0.3">
      <c r="A9" s="4"/>
      <c r="B9" s="2"/>
      <c r="C9" s="2"/>
      <c r="D9" s="2"/>
      <c r="E9" s="2"/>
      <c r="F9" s="2"/>
      <c r="G9" s="2"/>
      <c r="H9" s="2"/>
    </row>
    <row r="10" spans="1:8" s="3" customFormat="1" ht="20.25" x14ac:dyDescent="0.3">
      <c r="A10" s="2"/>
      <c r="B10" s="2"/>
      <c r="C10" s="2"/>
      <c r="D10" s="2"/>
      <c r="E10" s="2"/>
      <c r="F10" s="11" t="s">
        <v>5</v>
      </c>
      <c r="G10" s="2" t="s">
        <v>6</v>
      </c>
      <c r="H10" s="11" t="s">
        <v>5</v>
      </c>
    </row>
    <row r="11" spans="1:8" s="3" customFormat="1" ht="20.25" x14ac:dyDescent="0.3">
      <c r="A11" s="1" t="s">
        <v>7</v>
      </c>
      <c r="B11" s="2"/>
      <c r="C11" s="2"/>
      <c r="D11" s="2"/>
      <c r="E11" s="2"/>
      <c r="F11" s="2"/>
      <c r="G11" s="2"/>
      <c r="H11" s="7">
        <v>1245600</v>
      </c>
    </row>
    <row r="12" spans="1:8" s="3" customFormat="1" ht="20.25" x14ac:dyDescent="0.3">
      <c r="A12" s="2"/>
      <c r="B12" s="2"/>
      <c r="C12" s="2"/>
      <c r="D12" s="2"/>
      <c r="E12" s="2"/>
      <c r="F12" s="2"/>
      <c r="G12" s="2"/>
      <c r="H12" s="2"/>
    </row>
    <row r="13" spans="1:8" s="3" customFormat="1" ht="20.25" x14ac:dyDescent="0.3">
      <c r="A13" s="26" t="s">
        <v>8</v>
      </c>
      <c r="B13" s="26"/>
      <c r="C13" s="25"/>
      <c r="D13" s="2"/>
      <c r="E13" s="2"/>
      <c r="F13" s="2"/>
      <c r="G13" s="2"/>
      <c r="H13" s="2"/>
    </row>
    <row r="14" spans="1:8" s="3" customFormat="1" ht="20.25" x14ac:dyDescent="0.3">
      <c r="A14" s="2" t="s">
        <v>9</v>
      </c>
      <c r="B14" s="2"/>
      <c r="C14" s="2"/>
      <c r="D14" s="2"/>
      <c r="E14" s="2"/>
      <c r="F14" s="10">
        <v>65700</v>
      </c>
      <c r="G14" s="2"/>
      <c r="H14" s="13"/>
    </row>
    <row r="15" spans="1:8" s="3" customFormat="1" ht="21" thickBot="1" x14ac:dyDescent="0.35">
      <c r="A15" s="2" t="s">
        <v>10</v>
      </c>
      <c r="B15" s="2"/>
      <c r="C15" s="2"/>
      <c r="D15" s="2"/>
      <c r="E15" s="2"/>
      <c r="F15" s="14">
        <v>268240</v>
      </c>
      <c r="G15" s="2"/>
      <c r="H15" s="2"/>
    </row>
    <row r="16" spans="1:8" s="3" customFormat="1" ht="21" thickTop="1" x14ac:dyDescent="0.3">
      <c r="A16" s="13"/>
      <c r="B16" s="2"/>
      <c r="C16" s="2"/>
      <c r="D16" s="2"/>
      <c r="E16" s="2"/>
      <c r="F16" s="10">
        <f>SUM(F14:F15)</f>
        <v>333940</v>
      </c>
      <c r="G16" s="2"/>
      <c r="H16" s="2"/>
    </row>
    <row r="17" spans="1:8" s="3" customFormat="1" ht="21" thickBot="1" x14ac:dyDescent="0.35">
      <c r="A17" s="2" t="s">
        <v>11</v>
      </c>
      <c r="B17" s="2"/>
      <c r="C17" s="2"/>
      <c r="D17" s="2"/>
      <c r="E17" s="2"/>
      <c r="F17" s="14">
        <v>52450</v>
      </c>
      <c r="G17" s="2"/>
      <c r="H17" s="14">
        <f>SUM(F16-F17)</f>
        <v>281490</v>
      </c>
    </row>
    <row r="18" spans="1:8" s="3" customFormat="1" ht="21.75" thickTop="1" thickBot="1" x14ac:dyDescent="0.35">
      <c r="A18" s="28" t="s">
        <v>12</v>
      </c>
      <c r="B18" s="28"/>
      <c r="C18" s="28"/>
      <c r="D18" s="2"/>
      <c r="E18" s="2"/>
      <c r="F18" s="2"/>
      <c r="G18" s="2"/>
      <c r="H18" s="15">
        <f>SUM(H11-H17)</f>
        <v>964110</v>
      </c>
    </row>
    <row r="19" spans="1:8" s="3" customFormat="1" ht="21" thickTop="1" x14ac:dyDescent="0.3">
      <c r="A19" s="2"/>
      <c r="B19" s="2"/>
      <c r="C19" s="2"/>
      <c r="D19" s="2"/>
      <c r="E19" s="2"/>
      <c r="F19" s="2"/>
      <c r="G19" s="2"/>
      <c r="H19" s="16"/>
    </row>
    <row r="20" spans="1:8" s="3" customFormat="1" ht="20.25" x14ac:dyDescent="0.3">
      <c r="A20" s="2"/>
      <c r="B20" s="2"/>
      <c r="C20" s="2"/>
      <c r="D20" s="2"/>
      <c r="E20" s="2"/>
      <c r="F20" s="2"/>
      <c r="G20" s="2"/>
      <c r="H20" s="16"/>
    </row>
    <row r="21" spans="1:8" s="3" customFormat="1" ht="20.25" x14ac:dyDescent="0.3">
      <c r="A21" s="2"/>
      <c r="B21" s="2"/>
      <c r="C21" s="2"/>
      <c r="D21" s="2"/>
      <c r="E21" s="2"/>
      <c r="F21" s="2"/>
      <c r="G21" s="2"/>
      <c r="H21" s="16"/>
    </row>
    <row r="22" spans="1:8" s="3" customFormat="1" ht="20.25" x14ac:dyDescent="0.3">
      <c r="A22" s="30" t="s">
        <v>13</v>
      </c>
      <c r="B22" s="30"/>
      <c r="C22" s="2"/>
      <c r="D22" s="2"/>
      <c r="E22" s="2"/>
      <c r="F22" s="2"/>
      <c r="G22" s="2"/>
      <c r="H22" s="2"/>
    </row>
    <row r="23" spans="1:8" s="3" customFormat="1" ht="20.25" x14ac:dyDescent="0.3">
      <c r="A23" s="2" t="s">
        <v>49</v>
      </c>
      <c r="B23" s="2"/>
      <c r="C23" s="2"/>
      <c r="D23" s="2"/>
      <c r="E23" s="2"/>
      <c r="F23" s="10">
        <v>550000</v>
      </c>
      <c r="G23" s="13"/>
      <c r="H23" s="2"/>
    </row>
    <row r="24" spans="1:8" s="3" customFormat="1" ht="20.25" x14ac:dyDescent="0.3">
      <c r="A24" s="29" t="s">
        <v>56</v>
      </c>
      <c r="B24" s="29"/>
      <c r="C24" s="29"/>
      <c r="D24" s="29"/>
      <c r="E24" s="2"/>
      <c r="F24" s="10">
        <v>144560</v>
      </c>
      <c r="G24" s="13"/>
      <c r="H24" s="2"/>
    </row>
    <row r="25" spans="1:8" s="3" customFormat="1" ht="20.25" x14ac:dyDescent="0.3">
      <c r="A25" s="2" t="s">
        <v>14</v>
      </c>
      <c r="B25" s="2"/>
      <c r="C25" s="2"/>
      <c r="D25" s="2"/>
      <c r="E25" s="2"/>
      <c r="F25" s="10">
        <v>17600</v>
      </c>
      <c r="G25" s="2"/>
      <c r="H25" s="2"/>
    </row>
    <row r="26" spans="1:8" s="3" customFormat="1" ht="20.25" x14ac:dyDescent="0.3">
      <c r="A26" s="2" t="s">
        <v>57</v>
      </c>
      <c r="B26" s="2"/>
      <c r="C26" s="2"/>
      <c r="D26" s="2"/>
      <c r="E26" s="2"/>
      <c r="F26" s="10">
        <v>25410</v>
      </c>
      <c r="G26" s="2"/>
      <c r="H26" s="2"/>
    </row>
    <row r="27" spans="1:8" s="3" customFormat="1" ht="20.25" x14ac:dyDescent="0.3">
      <c r="A27" s="29" t="s">
        <v>58</v>
      </c>
      <c r="B27" s="29"/>
      <c r="C27" s="2"/>
      <c r="D27" s="2"/>
      <c r="E27" s="2"/>
      <c r="F27" s="10">
        <v>14590</v>
      </c>
      <c r="G27" s="2"/>
      <c r="H27" s="2"/>
    </row>
    <row r="28" spans="1:8" s="3" customFormat="1" ht="20.25" x14ac:dyDescent="0.3">
      <c r="A28" s="2" t="s">
        <v>59</v>
      </c>
      <c r="B28" s="2"/>
      <c r="C28" s="2"/>
      <c r="D28" s="2"/>
      <c r="E28" s="2"/>
      <c r="F28" s="10">
        <v>28500</v>
      </c>
      <c r="G28" s="2"/>
      <c r="H28" s="2"/>
    </row>
    <row r="29" spans="1:8" s="3" customFormat="1" ht="21" thickBot="1" x14ac:dyDescent="0.35">
      <c r="A29" s="29" t="s">
        <v>19</v>
      </c>
      <c r="B29" s="29"/>
      <c r="C29" s="29"/>
      <c r="D29" s="29"/>
      <c r="E29" s="29"/>
      <c r="F29" s="14">
        <v>2850</v>
      </c>
      <c r="G29" s="2"/>
      <c r="H29" s="2">
        <f>SUM(F23:F29)</f>
        <v>783510</v>
      </c>
    </row>
    <row r="30" spans="1:8" s="3" customFormat="1" ht="21.75" thickTop="1" thickBot="1" x14ac:dyDescent="0.35">
      <c r="A30" s="28" t="s">
        <v>21</v>
      </c>
      <c r="B30" s="28"/>
      <c r="C30" s="2"/>
      <c r="D30" s="2"/>
      <c r="E30" s="2"/>
      <c r="F30" s="13"/>
      <c r="G30" s="13"/>
      <c r="H30" s="15">
        <f>SUM(H18-H29)</f>
        <v>180600</v>
      </c>
    </row>
    <row r="31" spans="1:8" s="3" customFormat="1" ht="21" thickTop="1" x14ac:dyDescent="0.3">
      <c r="A31" s="27"/>
      <c r="B31" s="27"/>
      <c r="C31" s="2"/>
      <c r="D31" s="2"/>
      <c r="E31" s="2"/>
      <c r="F31" s="13"/>
      <c r="G31" s="13"/>
      <c r="H31" s="12"/>
    </row>
    <row r="32" spans="1:8" s="3" customFormat="1" ht="20.25" x14ac:dyDescent="0.3">
      <c r="A32" s="2"/>
      <c r="B32" s="2"/>
      <c r="C32" s="2"/>
      <c r="D32" s="2"/>
      <c r="E32" s="2"/>
      <c r="F32" s="2"/>
      <c r="G32" s="2"/>
      <c r="H32" s="13"/>
    </row>
    <row r="39" spans="1:8" s="3" customFormat="1" ht="20.25" x14ac:dyDescent="0.3">
      <c r="A39" s="26" t="s">
        <v>1</v>
      </c>
      <c r="B39" s="26"/>
      <c r="C39" s="26"/>
      <c r="D39" s="6"/>
      <c r="E39" s="6"/>
      <c r="F39" s="32" t="s">
        <v>54</v>
      </c>
      <c r="G39" s="32"/>
      <c r="H39" s="32"/>
    </row>
    <row r="40" spans="1:8" s="3" customFormat="1" ht="20.25" x14ac:dyDescent="0.3">
      <c r="A40" s="4"/>
      <c r="B40" s="4"/>
      <c r="C40" s="4"/>
      <c r="D40" s="1"/>
      <c r="E40" s="1"/>
      <c r="F40" s="1"/>
      <c r="G40" s="1"/>
      <c r="H40" s="2"/>
    </row>
    <row r="41" spans="1:8" s="3" customFormat="1" ht="20.25" x14ac:dyDescent="0.3">
      <c r="A41" s="1" t="s">
        <v>22</v>
      </c>
      <c r="B41" s="1"/>
      <c r="C41" s="1"/>
      <c r="D41" s="1"/>
      <c r="E41" s="1"/>
      <c r="F41" s="6"/>
      <c r="G41" s="33" t="s">
        <v>55</v>
      </c>
      <c r="H41" s="33"/>
    </row>
    <row r="42" spans="1:8" s="3" customFormat="1" ht="20.25" x14ac:dyDescent="0.3">
      <c r="A42" s="1"/>
      <c r="B42" s="1"/>
      <c r="C42" s="1"/>
      <c r="D42" s="1"/>
      <c r="E42" s="1"/>
      <c r="F42" s="1"/>
      <c r="G42" s="1"/>
      <c r="H42" s="2"/>
    </row>
    <row r="43" spans="1:8" s="3" customFormat="1" ht="20.25" x14ac:dyDescent="0.3">
      <c r="A43" s="4" t="s">
        <v>23</v>
      </c>
      <c r="B43" s="1"/>
      <c r="C43" s="1"/>
      <c r="D43" s="2"/>
      <c r="E43" s="2"/>
      <c r="F43" s="11" t="s">
        <v>24</v>
      </c>
      <c r="G43" s="11" t="s">
        <v>25</v>
      </c>
      <c r="H43" s="11" t="s">
        <v>26</v>
      </c>
    </row>
    <row r="44" spans="1:8" s="3" customFormat="1" ht="20.25" x14ac:dyDescent="0.3">
      <c r="A44" s="29" t="s">
        <v>27</v>
      </c>
      <c r="B44" s="29"/>
      <c r="C44" s="29"/>
      <c r="D44" s="29"/>
      <c r="E44" s="2"/>
      <c r="F44" s="2"/>
      <c r="G44" s="2"/>
      <c r="H44" s="16">
        <v>500000</v>
      </c>
    </row>
    <row r="45" spans="1:8" s="3" customFormat="1" ht="20.25" x14ac:dyDescent="0.3">
      <c r="A45" s="29" t="s">
        <v>60</v>
      </c>
      <c r="B45" s="29"/>
      <c r="C45" s="29"/>
      <c r="D45" s="29"/>
      <c r="E45" s="2"/>
      <c r="F45" s="2">
        <v>95000</v>
      </c>
      <c r="G45" s="2">
        <v>28500</v>
      </c>
      <c r="H45" s="16">
        <f>(F45-G45)</f>
        <v>66500</v>
      </c>
    </row>
    <row r="46" spans="1:8" s="3" customFormat="1" ht="21" thickBot="1" x14ac:dyDescent="0.35">
      <c r="A46" s="29" t="s">
        <v>61</v>
      </c>
      <c r="B46" s="29"/>
      <c r="C46" s="29"/>
      <c r="D46" s="29"/>
      <c r="E46" s="2"/>
      <c r="F46" s="2">
        <v>28500</v>
      </c>
      <c r="G46" s="2">
        <v>2850</v>
      </c>
      <c r="H46" s="16">
        <f>(F46-G46)</f>
        <v>25650</v>
      </c>
    </row>
    <row r="47" spans="1:8" s="3" customFormat="1" ht="21" thickTop="1" x14ac:dyDescent="0.3">
      <c r="A47" s="2"/>
      <c r="B47" s="2"/>
      <c r="C47" s="2"/>
      <c r="D47" s="2"/>
      <c r="E47" s="2"/>
      <c r="F47" s="2"/>
      <c r="G47" s="2"/>
      <c r="H47" s="17">
        <f>SUM(H44:H46)</f>
        <v>592150</v>
      </c>
    </row>
    <row r="48" spans="1:8" s="3" customFormat="1" ht="20.25" x14ac:dyDescent="0.3">
      <c r="A48" s="2"/>
      <c r="B48" s="2"/>
      <c r="C48" s="2"/>
      <c r="D48" s="2"/>
      <c r="E48" s="2"/>
      <c r="F48" s="2"/>
      <c r="G48" s="2"/>
      <c r="H48" s="16"/>
    </row>
    <row r="49" spans="1:8" s="3" customFormat="1" ht="20.25" x14ac:dyDescent="0.3">
      <c r="A49" s="2"/>
      <c r="B49" s="2"/>
      <c r="C49" s="2"/>
      <c r="D49" s="2"/>
      <c r="E49" s="2"/>
      <c r="F49" s="2"/>
      <c r="G49" s="2"/>
      <c r="H49" s="2"/>
    </row>
    <row r="50" spans="1:8" s="3" customFormat="1" ht="20.25" x14ac:dyDescent="0.3">
      <c r="A50" s="4" t="s">
        <v>30</v>
      </c>
      <c r="B50" s="1"/>
      <c r="C50" s="1"/>
      <c r="D50" s="1"/>
      <c r="E50" s="2"/>
      <c r="F50" s="2"/>
      <c r="G50" s="2"/>
      <c r="H50" s="2"/>
    </row>
    <row r="51" spans="1:8" s="3" customFormat="1" ht="20.25" x14ac:dyDescent="0.3">
      <c r="A51" s="29" t="s">
        <v>31</v>
      </c>
      <c r="B51" s="29"/>
      <c r="C51" s="29"/>
      <c r="D51" s="29"/>
      <c r="E51" s="2"/>
      <c r="F51" s="2"/>
      <c r="G51" s="2">
        <v>52450</v>
      </c>
      <c r="H51" s="2"/>
    </row>
    <row r="52" spans="1:8" s="3" customFormat="1" ht="20.25" x14ac:dyDescent="0.3">
      <c r="A52" s="29" t="s">
        <v>32</v>
      </c>
      <c r="B52" s="29"/>
      <c r="C52" s="29"/>
      <c r="D52" s="29"/>
      <c r="E52" s="2"/>
      <c r="F52" s="2"/>
      <c r="G52" s="16">
        <v>26000</v>
      </c>
      <c r="H52" s="2"/>
    </row>
    <row r="53" spans="1:8" s="3" customFormat="1" ht="20.25" x14ac:dyDescent="0.3">
      <c r="A53" s="29" t="s">
        <v>62</v>
      </c>
      <c r="B53" s="29"/>
      <c r="C53" s="29"/>
      <c r="D53" s="29"/>
      <c r="E53" s="2"/>
      <c r="F53" s="2"/>
      <c r="G53" s="2">
        <v>96500</v>
      </c>
      <c r="H53" s="2"/>
    </row>
    <row r="54" spans="1:8" s="3" customFormat="1" ht="21" thickBot="1" x14ac:dyDescent="0.35">
      <c r="A54" s="29" t="s">
        <v>63</v>
      </c>
      <c r="B54" s="29"/>
      <c r="C54" s="29"/>
      <c r="D54" s="29"/>
      <c r="E54" s="2"/>
      <c r="F54" s="2"/>
      <c r="G54" s="2">
        <v>8500</v>
      </c>
      <c r="H54" s="2"/>
    </row>
    <row r="55" spans="1:8" s="3" customFormat="1" ht="21" thickTop="1" x14ac:dyDescent="0.3">
      <c r="A55" s="2"/>
      <c r="B55" s="2"/>
      <c r="C55" s="2"/>
      <c r="D55" s="2"/>
      <c r="E55" s="2"/>
      <c r="F55" s="2"/>
      <c r="G55" s="17">
        <f>SUM(G51:G54)</f>
        <v>183450</v>
      </c>
      <c r="H55" s="2"/>
    </row>
    <row r="56" spans="1:8" s="3" customFormat="1" ht="20.25" x14ac:dyDescent="0.3">
      <c r="A56" s="2"/>
      <c r="B56" s="2"/>
      <c r="C56" s="2"/>
      <c r="D56" s="2"/>
      <c r="E56" s="2"/>
      <c r="F56" s="2"/>
      <c r="G56" s="16"/>
      <c r="H56" s="2"/>
    </row>
    <row r="57" spans="1:8" s="3" customFormat="1" ht="20.25" x14ac:dyDescent="0.3">
      <c r="A57" s="4" t="s">
        <v>33</v>
      </c>
      <c r="B57" s="1"/>
      <c r="C57" s="1"/>
      <c r="D57" s="1"/>
      <c r="E57" s="2"/>
      <c r="F57" s="2"/>
      <c r="G57" s="2"/>
      <c r="H57" s="2"/>
    </row>
    <row r="58" spans="1:8" s="3" customFormat="1" ht="21" thickBot="1" x14ac:dyDescent="0.35">
      <c r="A58" s="29" t="s">
        <v>35</v>
      </c>
      <c r="B58" s="29"/>
      <c r="C58" s="29"/>
      <c r="D58" s="29"/>
      <c r="E58" s="2"/>
      <c r="F58" s="16">
        <v>80000</v>
      </c>
      <c r="G58" s="2"/>
      <c r="H58" s="16"/>
    </row>
    <row r="59" spans="1:8" s="3" customFormat="1" ht="21" thickTop="1" x14ac:dyDescent="0.3">
      <c r="A59" s="25"/>
      <c r="B59" s="25"/>
      <c r="C59" s="25"/>
      <c r="D59" s="25"/>
      <c r="E59" s="2"/>
      <c r="F59" s="17">
        <f>SUM(F58:F58)</f>
        <v>80000</v>
      </c>
      <c r="G59" s="2"/>
      <c r="H59" s="16"/>
    </row>
    <row r="60" spans="1:8" s="3" customFormat="1" ht="21" thickBot="1" x14ac:dyDescent="0.35">
      <c r="A60" s="2" t="s">
        <v>36</v>
      </c>
      <c r="B60" s="2"/>
      <c r="C60" s="2"/>
      <c r="D60" s="2"/>
      <c r="E60" s="2"/>
      <c r="F60" s="2"/>
      <c r="G60" s="2"/>
      <c r="H60" s="18">
        <f>SUM(G55-F59)</f>
        <v>103450</v>
      </c>
    </row>
    <row r="61" spans="1:8" s="3" customFormat="1" ht="21" thickTop="1" x14ac:dyDescent="0.3">
      <c r="A61" s="2" t="s">
        <v>37</v>
      </c>
      <c r="B61" s="2"/>
      <c r="C61" s="2"/>
      <c r="D61" s="2"/>
      <c r="E61" s="2"/>
      <c r="F61" s="2"/>
      <c r="G61" s="2"/>
      <c r="H61" s="16">
        <f>SUM(H47:H60)</f>
        <v>695600</v>
      </c>
    </row>
    <row r="62" spans="1:8" s="3" customFormat="1" ht="20.25" x14ac:dyDescent="0.3">
      <c r="A62" s="2"/>
      <c r="B62" s="2"/>
      <c r="C62" s="2"/>
      <c r="D62" s="2"/>
      <c r="E62" s="2"/>
      <c r="F62" s="2"/>
      <c r="G62" s="2"/>
      <c r="H62" s="19"/>
    </row>
    <row r="63" spans="1:8" s="3" customFormat="1" ht="20.25" x14ac:dyDescent="0.3">
      <c r="A63" s="2" t="s">
        <v>6</v>
      </c>
      <c r="B63" s="2"/>
      <c r="C63" s="2"/>
      <c r="D63" s="2"/>
      <c r="E63" s="2"/>
      <c r="F63" s="2"/>
      <c r="G63" s="2"/>
      <c r="H63" s="2"/>
    </row>
    <row r="64" spans="1:8" s="3" customFormat="1" ht="20.25" x14ac:dyDescent="0.3">
      <c r="A64" s="4" t="s">
        <v>38</v>
      </c>
      <c r="B64" s="1"/>
      <c r="C64" s="1"/>
      <c r="D64" s="1"/>
      <c r="E64" s="2"/>
      <c r="F64" s="2"/>
      <c r="G64" s="2"/>
      <c r="H64" s="2"/>
    </row>
    <row r="65" spans="1:8" s="3" customFormat="1" ht="21" thickBot="1" x14ac:dyDescent="0.35">
      <c r="A65" s="29" t="s">
        <v>39</v>
      </c>
      <c r="B65" s="29"/>
      <c r="C65" s="29"/>
      <c r="D65" s="29"/>
      <c r="E65" s="2"/>
      <c r="F65" s="2"/>
      <c r="G65" s="2"/>
      <c r="H65" s="16">
        <v>200000</v>
      </c>
    </row>
    <row r="66" spans="1:8" s="3" customFormat="1" ht="21.75" thickTop="1" thickBot="1" x14ac:dyDescent="0.35">
      <c r="A66" s="1" t="s">
        <v>40</v>
      </c>
      <c r="B66" s="1"/>
      <c r="C66" s="1"/>
      <c r="D66" s="2"/>
      <c r="E66" s="2"/>
      <c r="F66" s="2"/>
      <c r="G66" s="2"/>
      <c r="H66" s="20">
        <f>SUM(H61-H65)</f>
        <v>495600</v>
      </c>
    </row>
    <row r="67" spans="1:8" s="3" customFormat="1" ht="21" thickTop="1" x14ac:dyDescent="0.3">
      <c r="A67" s="2"/>
      <c r="B67" s="2"/>
      <c r="C67" s="2"/>
      <c r="D67" s="2"/>
      <c r="E67" s="2"/>
      <c r="F67" s="2"/>
      <c r="G67" s="2"/>
      <c r="H67" s="19"/>
    </row>
    <row r="68" spans="1:8" s="3" customFormat="1" ht="20.25" x14ac:dyDescent="0.3">
      <c r="A68" s="2"/>
      <c r="B68" s="2"/>
      <c r="C68" s="2"/>
      <c r="D68" s="2"/>
      <c r="E68" s="2"/>
      <c r="F68" s="2"/>
      <c r="G68" s="2"/>
      <c r="H68" s="2"/>
    </row>
    <row r="69" spans="1:8" s="3" customFormat="1" ht="20.25" x14ac:dyDescent="0.3">
      <c r="A69" s="4" t="s">
        <v>41</v>
      </c>
      <c r="B69" s="1"/>
      <c r="C69" s="1"/>
      <c r="D69" s="2"/>
      <c r="E69" s="2"/>
      <c r="F69" s="2"/>
      <c r="G69" s="2"/>
      <c r="H69" s="2"/>
    </row>
    <row r="70" spans="1:8" s="3" customFormat="1" ht="20.25" x14ac:dyDescent="0.3">
      <c r="A70" s="29" t="s">
        <v>42</v>
      </c>
      <c r="B70" s="29"/>
      <c r="C70" s="29"/>
      <c r="D70" s="29"/>
      <c r="E70" s="2"/>
      <c r="F70" s="2"/>
      <c r="G70" s="2"/>
      <c r="H70" s="21">
        <v>350000</v>
      </c>
    </row>
    <row r="71" spans="1:8" s="3" customFormat="1" ht="21" thickBot="1" x14ac:dyDescent="0.35">
      <c r="A71" s="29" t="s">
        <v>43</v>
      </c>
      <c r="B71" s="29"/>
      <c r="C71" s="29"/>
      <c r="D71" s="29"/>
      <c r="E71" s="2"/>
      <c r="F71" s="2"/>
      <c r="G71" s="2"/>
      <c r="H71" s="21">
        <v>180600</v>
      </c>
    </row>
    <row r="72" spans="1:8" s="3" customFormat="1" ht="21" thickTop="1" x14ac:dyDescent="0.3">
      <c r="A72" s="2"/>
      <c r="B72" s="2"/>
      <c r="C72" s="2"/>
      <c r="D72" s="2"/>
      <c r="E72" s="2"/>
      <c r="F72" s="2"/>
      <c r="G72" s="2"/>
      <c r="H72" s="22">
        <f>SUM(H70:H71)</f>
        <v>530600</v>
      </c>
    </row>
    <row r="73" spans="1:8" s="3" customFormat="1" ht="21" thickBot="1" x14ac:dyDescent="0.35">
      <c r="A73" s="29" t="s">
        <v>44</v>
      </c>
      <c r="B73" s="29"/>
      <c r="C73" s="29"/>
      <c r="D73" s="29"/>
      <c r="E73" s="2"/>
      <c r="F73" s="2"/>
      <c r="G73" s="2"/>
      <c r="H73" s="23">
        <v>35000</v>
      </c>
    </row>
    <row r="74" spans="1:8" s="3" customFormat="1" ht="21.75" thickTop="1" thickBot="1" x14ac:dyDescent="0.35">
      <c r="A74" s="28" t="s">
        <v>45</v>
      </c>
      <c r="B74" s="28"/>
      <c r="C74" s="28"/>
      <c r="D74" s="28"/>
      <c r="E74" s="2"/>
      <c r="F74" s="2"/>
      <c r="G74" s="2"/>
      <c r="H74" s="24">
        <f>SUM(H72-H73)</f>
        <v>495600</v>
      </c>
    </row>
    <row r="75" spans="1:8" ht="15.75" thickTop="1" x14ac:dyDescent="0.25"/>
  </sheetData>
  <mergeCells count="26">
    <mergeCell ref="A18:C18"/>
    <mergeCell ref="A1:D1"/>
    <mergeCell ref="A4:C4"/>
    <mergeCell ref="F4:H4"/>
    <mergeCell ref="A6:F6"/>
    <mergeCell ref="G6:H6"/>
    <mergeCell ref="A51:D51"/>
    <mergeCell ref="A22:B22"/>
    <mergeCell ref="A24:D24"/>
    <mergeCell ref="A27:B27"/>
    <mergeCell ref="A29:E29"/>
    <mergeCell ref="A30:B30"/>
    <mergeCell ref="F39:H39"/>
    <mergeCell ref="G41:H41"/>
    <mergeCell ref="A44:D44"/>
    <mergeCell ref="A45:D45"/>
    <mergeCell ref="A46:D46"/>
    <mergeCell ref="A73:D73"/>
    <mergeCell ref="A74:D74"/>
    <mergeCell ref="A53:D53"/>
    <mergeCell ref="A54:D54"/>
    <mergeCell ref="A52:D52"/>
    <mergeCell ref="A58:D58"/>
    <mergeCell ref="A65:D65"/>
    <mergeCell ref="A70:D70"/>
    <mergeCell ref="A71:D71"/>
  </mergeCells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5"/>
  <sheetViews>
    <sheetView workbookViewId="0">
      <selection activeCell="I1" sqref="I1:S1048576"/>
    </sheetView>
  </sheetViews>
  <sheetFormatPr defaultRowHeight="15" x14ac:dyDescent="0.25"/>
  <cols>
    <col min="5" max="5" width="12.5703125" customWidth="1"/>
    <col min="6" max="8" width="14.140625" customWidth="1"/>
  </cols>
  <sheetData>
    <row r="1" spans="1:8" s="3" customFormat="1" ht="20.25" x14ac:dyDescent="0.3">
      <c r="A1" s="28" t="s">
        <v>64</v>
      </c>
      <c r="B1" s="28"/>
      <c r="C1" s="28"/>
      <c r="D1" s="28"/>
      <c r="E1" s="1"/>
      <c r="F1" s="1"/>
      <c r="G1" s="1"/>
      <c r="H1" s="2"/>
    </row>
    <row r="2" spans="1:8" s="3" customFormat="1" ht="20.25" x14ac:dyDescent="0.3">
      <c r="A2" s="1"/>
      <c r="B2" s="1"/>
      <c r="C2" s="1"/>
      <c r="D2" s="1"/>
      <c r="E2" s="1"/>
      <c r="F2" s="1"/>
      <c r="G2" s="1"/>
      <c r="H2" s="2"/>
    </row>
    <row r="3" spans="1:8" s="3" customFormat="1" ht="20.25" x14ac:dyDescent="0.3">
      <c r="A3" s="1"/>
      <c r="B3" s="1"/>
      <c r="C3" s="1"/>
      <c r="D3" s="1"/>
      <c r="E3" s="1"/>
      <c r="F3" s="1"/>
      <c r="G3" s="1"/>
      <c r="H3" s="2"/>
    </row>
    <row r="4" spans="1:8" s="3" customFormat="1" ht="20.25" x14ac:dyDescent="0.3">
      <c r="A4" s="30" t="s">
        <v>1</v>
      </c>
      <c r="B4" s="30"/>
      <c r="C4" s="30"/>
      <c r="D4" s="1"/>
      <c r="E4" s="1"/>
      <c r="F4" s="34" t="s">
        <v>65</v>
      </c>
      <c r="G4" s="34"/>
      <c r="H4" s="34"/>
    </row>
    <row r="5" spans="1:8" s="3" customFormat="1" ht="20.25" x14ac:dyDescent="0.3">
      <c r="A5" s="4"/>
      <c r="B5" s="1"/>
      <c r="C5" s="1"/>
      <c r="D5" s="1"/>
      <c r="E5" s="1"/>
      <c r="F5" s="1"/>
      <c r="G5" s="5"/>
      <c r="H5" s="6"/>
    </row>
    <row r="6" spans="1:8" s="3" customFormat="1" ht="20.25" x14ac:dyDescent="0.3">
      <c r="A6" s="30" t="s">
        <v>3</v>
      </c>
      <c r="B6" s="30"/>
      <c r="C6" s="30"/>
      <c r="D6" s="30"/>
      <c r="E6" s="30"/>
      <c r="F6" s="30"/>
      <c r="G6" s="31" t="s">
        <v>66</v>
      </c>
      <c r="H6" s="31"/>
    </row>
    <row r="7" spans="1:8" s="3" customFormat="1" ht="20.25" x14ac:dyDescent="0.3">
      <c r="A7" s="8"/>
      <c r="B7" s="9"/>
      <c r="C7" s="9"/>
      <c r="D7" s="9"/>
      <c r="E7" s="9"/>
      <c r="F7" s="9"/>
      <c r="G7" s="7"/>
      <c r="H7" s="10"/>
    </row>
    <row r="8" spans="1:8" s="3" customFormat="1" ht="20.25" x14ac:dyDescent="0.3">
      <c r="A8" s="8"/>
      <c r="B8" s="9"/>
      <c r="C8" s="9"/>
      <c r="D8" s="9"/>
      <c r="E8" s="9"/>
      <c r="F8" s="9"/>
      <c r="G8" s="7"/>
      <c r="H8" s="10"/>
    </row>
    <row r="9" spans="1:8" s="3" customFormat="1" ht="20.25" x14ac:dyDescent="0.3">
      <c r="A9" s="4"/>
      <c r="B9" s="2"/>
      <c r="C9" s="2"/>
      <c r="D9" s="2"/>
      <c r="E9" s="2"/>
      <c r="F9" s="2"/>
      <c r="G9" s="2"/>
      <c r="H9" s="2"/>
    </row>
    <row r="10" spans="1:8" s="3" customFormat="1" ht="20.25" x14ac:dyDescent="0.3">
      <c r="A10" s="2"/>
      <c r="B10" s="2"/>
      <c r="C10" s="2"/>
      <c r="D10" s="2"/>
      <c r="E10" s="2"/>
      <c r="F10" s="11" t="s">
        <v>5</v>
      </c>
      <c r="G10" s="2" t="s">
        <v>6</v>
      </c>
      <c r="H10" s="11" t="s">
        <v>5</v>
      </c>
    </row>
    <row r="11" spans="1:8" s="3" customFormat="1" ht="20.25" x14ac:dyDescent="0.3">
      <c r="A11" s="1" t="s">
        <v>7</v>
      </c>
      <c r="B11" s="2"/>
      <c r="C11" s="2"/>
      <c r="D11" s="2"/>
      <c r="E11" s="2"/>
      <c r="F11" s="2"/>
      <c r="G11" s="2"/>
      <c r="H11" s="12">
        <v>98137</v>
      </c>
    </row>
    <row r="12" spans="1:8" s="3" customFormat="1" ht="20.25" x14ac:dyDescent="0.3">
      <c r="A12" s="2"/>
      <c r="B12" s="2"/>
      <c r="C12" s="2"/>
      <c r="D12" s="2"/>
      <c r="E12" s="2"/>
      <c r="F12" s="2"/>
      <c r="G12" s="2"/>
      <c r="H12" s="2"/>
    </row>
    <row r="13" spans="1:8" s="3" customFormat="1" ht="20.25" x14ac:dyDescent="0.3">
      <c r="A13" s="26" t="s">
        <v>8</v>
      </c>
      <c r="B13" s="26"/>
      <c r="C13" s="25"/>
      <c r="D13" s="2"/>
      <c r="E13" s="2"/>
      <c r="F13" s="2"/>
      <c r="G13" s="2"/>
      <c r="H13" s="2"/>
    </row>
    <row r="14" spans="1:8" s="3" customFormat="1" ht="20.25" x14ac:dyDescent="0.3">
      <c r="A14" s="2" t="s">
        <v>9</v>
      </c>
      <c r="B14" s="2"/>
      <c r="C14" s="2"/>
      <c r="D14" s="2"/>
      <c r="E14" s="2"/>
      <c r="F14" s="10">
        <v>6500</v>
      </c>
      <c r="G14" s="2"/>
      <c r="H14" s="13"/>
    </row>
    <row r="15" spans="1:8" s="3" customFormat="1" ht="21" thickBot="1" x14ac:dyDescent="0.35">
      <c r="A15" s="2" t="s">
        <v>10</v>
      </c>
      <c r="B15" s="2"/>
      <c r="C15" s="2"/>
      <c r="D15" s="2"/>
      <c r="E15" s="2"/>
      <c r="F15" s="14">
        <v>27801</v>
      </c>
      <c r="G15" s="2"/>
      <c r="H15" s="2"/>
    </row>
    <row r="16" spans="1:8" s="3" customFormat="1" ht="21" thickTop="1" x14ac:dyDescent="0.3">
      <c r="A16" s="13"/>
      <c r="B16" s="2"/>
      <c r="C16" s="2"/>
      <c r="D16" s="2"/>
      <c r="E16" s="2"/>
      <c r="F16" s="10">
        <f>SUM(F14:F15)</f>
        <v>34301</v>
      </c>
      <c r="G16" s="2"/>
      <c r="H16" s="2"/>
    </row>
    <row r="17" spans="1:8" s="3" customFormat="1" ht="21" thickBot="1" x14ac:dyDescent="0.35">
      <c r="A17" s="2" t="s">
        <v>11</v>
      </c>
      <c r="B17" s="2"/>
      <c r="C17" s="2"/>
      <c r="D17" s="2"/>
      <c r="E17" s="2"/>
      <c r="F17" s="14">
        <v>1840</v>
      </c>
      <c r="G17" s="2"/>
      <c r="H17" s="14">
        <f>SUM(F16-F17)</f>
        <v>32461</v>
      </c>
    </row>
    <row r="18" spans="1:8" s="3" customFormat="1" ht="21.75" thickTop="1" thickBot="1" x14ac:dyDescent="0.35">
      <c r="A18" s="28" t="s">
        <v>12</v>
      </c>
      <c r="B18" s="28"/>
      <c r="C18" s="28"/>
      <c r="D18" s="2"/>
      <c r="E18" s="2"/>
      <c r="F18" s="2"/>
      <c r="G18" s="2"/>
      <c r="H18" s="15">
        <f>SUM(H11-H17)</f>
        <v>65676</v>
      </c>
    </row>
    <row r="19" spans="1:8" s="3" customFormat="1" ht="21" thickTop="1" x14ac:dyDescent="0.3">
      <c r="A19" s="2"/>
      <c r="B19" s="2"/>
      <c r="C19" s="2"/>
      <c r="D19" s="2"/>
      <c r="E19" s="2"/>
      <c r="F19" s="2"/>
      <c r="G19" s="2"/>
      <c r="H19" s="16"/>
    </row>
    <row r="20" spans="1:8" s="3" customFormat="1" ht="20.25" x14ac:dyDescent="0.3">
      <c r="A20" s="2"/>
      <c r="B20" s="2"/>
      <c r="C20" s="2"/>
      <c r="D20" s="2"/>
      <c r="E20" s="2"/>
      <c r="F20" s="2"/>
      <c r="G20" s="2"/>
      <c r="H20" s="16"/>
    </row>
    <row r="21" spans="1:8" s="3" customFormat="1" ht="20.25" x14ac:dyDescent="0.3">
      <c r="A21" s="2"/>
      <c r="B21" s="2"/>
      <c r="C21" s="2"/>
      <c r="D21" s="2"/>
      <c r="E21" s="2"/>
      <c r="F21" s="2"/>
      <c r="G21" s="2"/>
      <c r="H21" s="16"/>
    </row>
    <row r="22" spans="1:8" s="3" customFormat="1" ht="20.25" x14ac:dyDescent="0.3">
      <c r="A22" s="30" t="s">
        <v>13</v>
      </c>
      <c r="B22" s="30"/>
      <c r="C22" s="2"/>
      <c r="D22" s="2"/>
      <c r="E22" s="2"/>
      <c r="F22" s="2"/>
      <c r="G22" s="2"/>
      <c r="H22" s="2"/>
    </row>
    <row r="23" spans="1:8" s="3" customFormat="1" ht="20.25" x14ac:dyDescent="0.3">
      <c r="A23" s="2" t="s">
        <v>49</v>
      </c>
      <c r="B23" s="2"/>
      <c r="C23" s="2"/>
      <c r="D23" s="2"/>
      <c r="E23" s="2"/>
      <c r="F23" s="10">
        <v>38125</v>
      </c>
      <c r="G23" s="13"/>
      <c r="H23" s="2"/>
    </row>
    <row r="24" spans="1:8" s="3" customFormat="1" ht="20.25" x14ac:dyDescent="0.3">
      <c r="A24" s="29" t="s">
        <v>56</v>
      </c>
      <c r="B24" s="29"/>
      <c r="C24" s="29"/>
      <c r="D24" s="29"/>
      <c r="E24" s="2"/>
      <c r="F24" s="10">
        <v>5415</v>
      </c>
      <c r="G24" s="13"/>
      <c r="H24" s="2"/>
    </row>
    <row r="25" spans="1:8" s="3" customFormat="1" ht="20.25" x14ac:dyDescent="0.3">
      <c r="A25" s="2" t="s">
        <v>14</v>
      </c>
      <c r="B25" s="2"/>
      <c r="C25" s="2"/>
      <c r="D25" s="2"/>
      <c r="E25" s="2"/>
      <c r="F25" s="10">
        <v>1233</v>
      </c>
      <c r="G25" s="2"/>
      <c r="H25" s="2"/>
    </row>
    <row r="26" spans="1:8" s="3" customFormat="1" ht="20.25" x14ac:dyDescent="0.3">
      <c r="A26" s="2" t="s">
        <v>57</v>
      </c>
      <c r="B26" s="2"/>
      <c r="C26" s="2"/>
      <c r="D26" s="2"/>
      <c r="E26" s="2"/>
      <c r="F26" s="10">
        <v>1870</v>
      </c>
      <c r="G26" s="2"/>
      <c r="H26" s="2"/>
    </row>
    <row r="27" spans="1:8" s="3" customFormat="1" ht="20.25" x14ac:dyDescent="0.3">
      <c r="A27" s="29" t="s">
        <v>58</v>
      </c>
      <c r="B27" s="29"/>
      <c r="C27" s="2"/>
      <c r="D27" s="2"/>
      <c r="E27" s="2"/>
      <c r="F27" s="10">
        <v>500</v>
      </c>
      <c r="G27" s="2"/>
      <c r="H27" s="2"/>
    </row>
    <row r="28" spans="1:8" s="3" customFormat="1" ht="20.25" x14ac:dyDescent="0.3">
      <c r="A28" s="2" t="s">
        <v>67</v>
      </c>
      <c r="B28" s="2"/>
      <c r="C28" s="2"/>
      <c r="D28" s="2"/>
      <c r="E28" s="2"/>
      <c r="F28" s="10">
        <v>315</v>
      </c>
      <c r="G28" s="2"/>
      <c r="H28" s="2"/>
    </row>
    <row r="29" spans="1:8" s="3" customFormat="1" ht="21" thickBot="1" x14ac:dyDescent="0.35">
      <c r="A29" s="29" t="s">
        <v>68</v>
      </c>
      <c r="B29" s="29"/>
      <c r="C29" s="29"/>
      <c r="D29" s="29"/>
      <c r="E29" s="29"/>
      <c r="F29" s="14">
        <v>1800</v>
      </c>
      <c r="G29" s="2"/>
      <c r="H29" s="2">
        <f>SUM(F23:F29)</f>
        <v>49258</v>
      </c>
    </row>
    <row r="30" spans="1:8" s="3" customFormat="1" ht="21.75" thickTop="1" thickBot="1" x14ac:dyDescent="0.35">
      <c r="A30" s="28" t="s">
        <v>21</v>
      </c>
      <c r="B30" s="28"/>
      <c r="C30" s="2"/>
      <c r="D30" s="2"/>
      <c r="E30" s="2"/>
      <c r="F30" s="13"/>
      <c r="G30" s="13"/>
      <c r="H30" s="15">
        <f>SUM(H18-H29)</f>
        <v>16418</v>
      </c>
    </row>
    <row r="31" spans="1:8" s="3" customFormat="1" ht="21" thickTop="1" x14ac:dyDescent="0.3">
      <c r="A31" s="27"/>
      <c r="B31" s="27"/>
      <c r="C31" s="2"/>
      <c r="D31" s="2"/>
      <c r="E31" s="2"/>
      <c r="F31" s="13"/>
      <c r="G31" s="13"/>
      <c r="H31" s="12"/>
    </row>
    <row r="32" spans="1:8" s="3" customFormat="1" ht="20.25" x14ac:dyDescent="0.3">
      <c r="A32" s="2"/>
      <c r="B32" s="2"/>
      <c r="C32" s="2"/>
      <c r="D32" s="2"/>
      <c r="E32" s="2"/>
      <c r="F32" s="2"/>
      <c r="G32" s="2"/>
      <c r="H32" s="13"/>
    </row>
    <row r="39" spans="1:8" s="3" customFormat="1" ht="20.25" x14ac:dyDescent="0.3">
      <c r="A39" s="26" t="s">
        <v>1</v>
      </c>
      <c r="B39" s="26"/>
      <c r="C39" s="26"/>
      <c r="D39" s="6"/>
      <c r="E39" s="6"/>
      <c r="F39" s="32" t="s">
        <v>65</v>
      </c>
      <c r="G39" s="32"/>
      <c r="H39" s="32"/>
    </row>
    <row r="40" spans="1:8" s="3" customFormat="1" ht="20.25" x14ac:dyDescent="0.3">
      <c r="A40" s="4"/>
      <c r="B40" s="4"/>
      <c r="C40" s="4"/>
      <c r="D40" s="1"/>
      <c r="E40" s="1"/>
      <c r="F40" s="1"/>
      <c r="G40" s="1"/>
      <c r="H40" s="2"/>
    </row>
    <row r="41" spans="1:8" s="3" customFormat="1" ht="20.25" x14ac:dyDescent="0.3">
      <c r="A41" s="1" t="s">
        <v>22</v>
      </c>
      <c r="B41" s="1"/>
      <c r="C41" s="1"/>
      <c r="D41" s="1"/>
      <c r="E41" s="1"/>
      <c r="F41" s="6"/>
      <c r="G41" s="33" t="s">
        <v>66</v>
      </c>
      <c r="H41" s="33"/>
    </row>
    <row r="42" spans="1:8" s="3" customFormat="1" ht="20.25" x14ac:dyDescent="0.3">
      <c r="A42" s="1"/>
      <c r="B42" s="1"/>
      <c r="C42" s="1"/>
      <c r="D42" s="1"/>
      <c r="E42" s="1"/>
      <c r="F42" s="1"/>
      <c r="G42" s="1"/>
      <c r="H42" s="2"/>
    </row>
    <row r="43" spans="1:8" s="3" customFormat="1" ht="20.25" x14ac:dyDescent="0.3">
      <c r="A43" s="4" t="s">
        <v>23</v>
      </c>
      <c r="B43" s="1"/>
      <c r="C43" s="1"/>
      <c r="D43" s="2"/>
      <c r="E43" s="2"/>
      <c r="F43" s="11" t="s">
        <v>24</v>
      </c>
      <c r="G43" s="11" t="s">
        <v>25</v>
      </c>
      <c r="H43" s="11" t="s">
        <v>26</v>
      </c>
    </row>
    <row r="44" spans="1:8" s="3" customFormat="1" ht="20.25" x14ac:dyDescent="0.3">
      <c r="A44" s="29" t="s">
        <v>27</v>
      </c>
      <c r="B44" s="29"/>
      <c r="C44" s="29"/>
      <c r="D44" s="29"/>
      <c r="E44" s="2"/>
      <c r="F44" s="2"/>
      <c r="G44" s="2"/>
      <c r="H44" s="16">
        <v>60000</v>
      </c>
    </row>
    <row r="45" spans="1:8" s="3" customFormat="1" ht="20.25" x14ac:dyDescent="0.3">
      <c r="A45" s="29" t="s">
        <v>52</v>
      </c>
      <c r="B45" s="29"/>
      <c r="C45" s="29"/>
      <c r="D45" s="29"/>
      <c r="E45" s="2"/>
      <c r="F45" s="2">
        <v>1260</v>
      </c>
      <c r="G45" s="2">
        <v>315</v>
      </c>
      <c r="H45" s="16">
        <f>(F45-G45)</f>
        <v>945</v>
      </c>
    </row>
    <row r="46" spans="1:8" s="3" customFormat="1" ht="21" thickBot="1" x14ac:dyDescent="0.35">
      <c r="A46" s="29" t="s">
        <v>61</v>
      </c>
      <c r="B46" s="29"/>
      <c r="C46" s="29"/>
      <c r="D46" s="29"/>
      <c r="E46" s="2"/>
      <c r="F46" s="2">
        <v>9000</v>
      </c>
      <c r="G46" s="2">
        <v>1800</v>
      </c>
      <c r="H46" s="16">
        <f>(F46-G46)</f>
        <v>7200</v>
      </c>
    </row>
    <row r="47" spans="1:8" s="3" customFormat="1" ht="21" thickTop="1" x14ac:dyDescent="0.3">
      <c r="A47" s="2"/>
      <c r="B47" s="2"/>
      <c r="C47" s="2"/>
      <c r="D47" s="2"/>
      <c r="E47" s="2"/>
      <c r="F47" s="2"/>
      <c r="G47" s="2"/>
      <c r="H47" s="17">
        <f>SUM(H44:H46)</f>
        <v>68145</v>
      </c>
    </row>
    <row r="48" spans="1:8" s="3" customFormat="1" ht="20.25" x14ac:dyDescent="0.3">
      <c r="A48" s="2"/>
      <c r="B48" s="2"/>
      <c r="C48" s="2"/>
      <c r="D48" s="2"/>
      <c r="E48" s="2"/>
      <c r="F48" s="2"/>
      <c r="G48" s="2"/>
      <c r="H48" s="16"/>
    </row>
    <row r="49" spans="1:8" s="3" customFormat="1" ht="20.25" x14ac:dyDescent="0.3">
      <c r="A49" s="2"/>
      <c r="B49" s="2"/>
      <c r="C49" s="2"/>
      <c r="D49" s="2"/>
      <c r="E49" s="2"/>
      <c r="F49" s="2"/>
      <c r="G49" s="2"/>
      <c r="H49" s="2"/>
    </row>
    <row r="50" spans="1:8" s="3" customFormat="1" ht="20.25" x14ac:dyDescent="0.3">
      <c r="A50" s="4" t="s">
        <v>30</v>
      </c>
      <c r="B50" s="1"/>
      <c r="C50" s="1"/>
      <c r="D50" s="1"/>
      <c r="E50" s="2"/>
      <c r="F50" s="2"/>
      <c r="G50" s="2"/>
      <c r="H50" s="2"/>
    </row>
    <row r="51" spans="1:8" s="3" customFormat="1" ht="20.25" x14ac:dyDescent="0.3">
      <c r="A51" s="29" t="s">
        <v>31</v>
      </c>
      <c r="B51" s="29"/>
      <c r="C51" s="29"/>
      <c r="D51" s="29"/>
      <c r="E51" s="2"/>
      <c r="F51" s="2"/>
      <c r="G51" s="2">
        <v>1840</v>
      </c>
      <c r="H51" s="2"/>
    </row>
    <row r="52" spans="1:8" s="3" customFormat="1" ht="20.25" x14ac:dyDescent="0.3">
      <c r="A52" s="29" t="s">
        <v>32</v>
      </c>
      <c r="B52" s="29"/>
      <c r="C52" s="29"/>
      <c r="D52" s="29"/>
      <c r="E52" s="2"/>
      <c r="F52" s="2"/>
      <c r="G52" s="16">
        <v>2150</v>
      </c>
      <c r="H52" s="2"/>
    </row>
    <row r="53" spans="1:8" s="3" customFormat="1" ht="21" thickBot="1" x14ac:dyDescent="0.35">
      <c r="A53" s="29" t="s">
        <v>63</v>
      </c>
      <c r="B53" s="29"/>
      <c r="C53" s="29"/>
      <c r="D53" s="29"/>
      <c r="E53" s="2"/>
      <c r="F53" s="2"/>
      <c r="G53" s="2">
        <v>855</v>
      </c>
      <c r="H53" s="2"/>
    </row>
    <row r="54" spans="1:8" s="3" customFormat="1" ht="21" thickTop="1" x14ac:dyDescent="0.3">
      <c r="A54" s="2"/>
      <c r="B54" s="2"/>
      <c r="C54" s="2"/>
      <c r="D54" s="2"/>
      <c r="E54" s="2"/>
      <c r="F54" s="2"/>
      <c r="G54" s="17">
        <f>SUM(G51:G53)</f>
        <v>4845</v>
      </c>
      <c r="H54" s="2"/>
    </row>
    <row r="55" spans="1:8" s="3" customFormat="1" ht="20.25" x14ac:dyDescent="0.3">
      <c r="A55" s="2"/>
      <c r="B55" s="2"/>
      <c r="C55" s="2"/>
      <c r="D55" s="2"/>
      <c r="E55" s="2"/>
      <c r="F55" s="2"/>
      <c r="G55" s="16"/>
      <c r="H55" s="2"/>
    </row>
    <row r="56" spans="1:8" s="3" customFormat="1" ht="20.25" x14ac:dyDescent="0.3">
      <c r="A56" s="4" t="s">
        <v>33</v>
      </c>
      <c r="B56" s="1"/>
      <c r="C56" s="1"/>
      <c r="D56" s="1"/>
      <c r="E56" s="2"/>
      <c r="F56" s="2"/>
      <c r="G56" s="2"/>
      <c r="H56" s="2"/>
    </row>
    <row r="57" spans="1:8" s="3" customFormat="1" ht="20.25" x14ac:dyDescent="0.3">
      <c r="A57" s="29" t="s">
        <v>34</v>
      </c>
      <c r="B57" s="30"/>
      <c r="C57" s="30"/>
      <c r="D57" s="30"/>
      <c r="E57" s="2"/>
      <c r="F57" s="2">
        <v>4994</v>
      </c>
      <c r="G57" s="2"/>
      <c r="H57" s="2"/>
    </row>
    <row r="58" spans="1:8" s="3" customFormat="1" ht="21" thickBot="1" x14ac:dyDescent="0.35">
      <c r="A58" s="29" t="s">
        <v>35</v>
      </c>
      <c r="B58" s="29"/>
      <c r="C58" s="29"/>
      <c r="D58" s="29"/>
      <c r="E58" s="2"/>
      <c r="F58" s="16">
        <v>1578</v>
      </c>
      <c r="G58" s="2"/>
      <c r="H58" s="16"/>
    </row>
    <row r="59" spans="1:8" s="3" customFormat="1" ht="21" thickTop="1" x14ac:dyDescent="0.3">
      <c r="A59" s="25"/>
      <c r="B59" s="25"/>
      <c r="C59" s="25"/>
      <c r="D59" s="25"/>
      <c r="E59" s="2"/>
      <c r="F59" s="17">
        <f>SUM(F57:F58)</f>
        <v>6572</v>
      </c>
      <c r="G59" s="2"/>
      <c r="H59" s="16"/>
    </row>
    <row r="60" spans="1:8" s="3" customFormat="1" ht="21" thickBot="1" x14ac:dyDescent="0.35">
      <c r="A60" s="2" t="s">
        <v>36</v>
      </c>
      <c r="B60" s="2"/>
      <c r="C60" s="2"/>
      <c r="D60" s="2"/>
      <c r="E60" s="2"/>
      <c r="F60" s="2"/>
      <c r="G60" s="2"/>
      <c r="H60" s="18">
        <f>SUM(G54-F59)</f>
        <v>-1727</v>
      </c>
    </row>
    <row r="61" spans="1:8" s="3" customFormat="1" ht="21" thickTop="1" x14ac:dyDescent="0.3">
      <c r="A61" s="2" t="s">
        <v>37</v>
      </c>
      <c r="B61" s="2"/>
      <c r="C61" s="2"/>
      <c r="D61" s="2"/>
      <c r="E61" s="2"/>
      <c r="F61" s="2"/>
      <c r="G61" s="2"/>
      <c r="H61" s="16">
        <f>SUM(H47:H60)</f>
        <v>66418</v>
      </c>
    </row>
    <row r="62" spans="1:8" s="3" customFormat="1" ht="20.25" x14ac:dyDescent="0.3">
      <c r="A62" s="2"/>
      <c r="B62" s="2"/>
      <c r="C62" s="2"/>
      <c r="D62" s="2"/>
      <c r="E62" s="2"/>
      <c r="F62" s="2"/>
      <c r="G62" s="2"/>
      <c r="H62" s="19"/>
    </row>
    <row r="63" spans="1:8" s="3" customFormat="1" ht="20.25" x14ac:dyDescent="0.3">
      <c r="A63" s="2" t="s">
        <v>6</v>
      </c>
      <c r="B63" s="2"/>
      <c r="C63" s="2"/>
      <c r="D63" s="2"/>
      <c r="E63" s="2"/>
      <c r="F63" s="2"/>
      <c r="G63" s="2"/>
      <c r="H63" s="2"/>
    </row>
    <row r="64" spans="1:8" s="3" customFormat="1" ht="20.25" x14ac:dyDescent="0.3">
      <c r="A64" s="4" t="s">
        <v>38</v>
      </c>
      <c r="B64" s="1"/>
      <c r="C64" s="1"/>
      <c r="D64" s="1"/>
      <c r="E64" s="2"/>
      <c r="F64" s="2"/>
      <c r="G64" s="2"/>
      <c r="H64" s="2"/>
    </row>
    <row r="65" spans="1:8" s="3" customFormat="1" ht="21" thickBot="1" x14ac:dyDescent="0.35">
      <c r="A65" s="29" t="s">
        <v>39</v>
      </c>
      <c r="B65" s="29"/>
      <c r="C65" s="29"/>
      <c r="D65" s="29"/>
      <c r="E65" s="2"/>
      <c r="F65" s="2"/>
      <c r="G65" s="2"/>
      <c r="H65" s="16">
        <v>22000</v>
      </c>
    </row>
    <row r="66" spans="1:8" s="3" customFormat="1" ht="21.75" thickTop="1" thickBot="1" x14ac:dyDescent="0.35">
      <c r="A66" s="1" t="s">
        <v>40</v>
      </c>
      <c r="B66" s="1"/>
      <c r="C66" s="1"/>
      <c r="D66" s="2"/>
      <c r="E66" s="2"/>
      <c r="F66" s="2"/>
      <c r="G66" s="2"/>
      <c r="H66" s="20">
        <f>SUM(H61-H65)</f>
        <v>44418</v>
      </c>
    </row>
    <row r="67" spans="1:8" s="3" customFormat="1" ht="21" thickTop="1" x14ac:dyDescent="0.3">
      <c r="A67" s="2"/>
      <c r="B67" s="2"/>
      <c r="C67" s="2"/>
      <c r="D67" s="2"/>
      <c r="E67" s="2"/>
      <c r="F67" s="2"/>
      <c r="G67" s="2"/>
      <c r="H67" s="19"/>
    </row>
    <row r="68" spans="1:8" s="3" customFormat="1" ht="20.25" x14ac:dyDescent="0.3">
      <c r="A68" s="2"/>
      <c r="B68" s="2"/>
      <c r="C68" s="2"/>
      <c r="D68" s="2"/>
      <c r="E68" s="2"/>
      <c r="F68" s="2"/>
      <c r="G68" s="2"/>
      <c r="H68" s="2"/>
    </row>
    <row r="69" spans="1:8" s="3" customFormat="1" ht="20.25" x14ac:dyDescent="0.3">
      <c r="A69" s="4" t="s">
        <v>41</v>
      </c>
      <c r="B69" s="1"/>
      <c r="C69" s="1"/>
      <c r="D69" s="2"/>
      <c r="E69" s="2"/>
      <c r="F69" s="2"/>
      <c r="G69" s="2"/>
      <c r="H69" s="2"/>
    </row>
    <row r="70" spans="1:8" s="3" customFormat="1" ht="20.25" x14ac:dyDescent="0.3">
      <c r="A70" s="29" t="s">
        <v>42</v>
      </c>
      <c r="B70" s="29"/>
      <c r="C70" s="29"/>
      <c r="D70" s="29"/>
      <c r="E70" s="2"/>
      <c r="F70" s="2"/>
      <c r="G70" s="2"/>
      <c r="H70" s="21">
        <v>35000</v>
      </c>
    </row>
    <row r="71" spans="1:8" s="3" customFormat="1" ht="21" thickBot="1" x14ac:dyDescent="0.35">
      <c r="A71" s="29" t="s">
        <v>43</v>
      </c>
      <c r="B71" s="29"/>
      <c r="C71" s="29"/>
      <c r="D71" s="29"/>
      <c r="E71" s="2"/>
      <c r="F71" s="2"/>
      <c r="G71" s="2"/>
      <c r="H71" s="21">
        <v>16418</v>
      </c>
    </row>
    <row r="72" spans="1:8" s="3" customFormat="1" ht="21" thickTop="1" x14ac:dyDescent="0.3">
      <c r="A72" s="2"/>
      <c r="B72" s="2"/>
      <c r="C72" s="2"/>
      <c r="D72" s="2"/>
      <c r="E72" s="2"/>
      <c r="F72" s="2"/>
      <c r="G72" s="2"/>
      <c r="H72" s="22">
        <f>SUM(H70:H71)</f>
        <v>51418</v>
      </c>
    </row>
    <row r="73" spans="1:8" s="3" customFormat="1" ht="21" thickBot="1" x14ac:dyDescent="0.35">
      <c r="A73" s="29" t="s">
        <v>44</v>
      </c>
      <c r="B73" s="29"/>
      <c r="C73" s="29"/>
      <c r="D73" s="29"/>
      <c r="E73" s="2"/>
      <c r="F73" s="2"/>
      <c r="G73" s="2"/>
      <c r="H73" s="23">
        <v>7000</v>
      </c>
    </row>
    <row r="74" spans="1:8" s="3" customFormat="1" ht="21.75" thickTop="1" thickBot="1" x14ac:dyDescent="0.35">
      <c r="A74" s="28" t="s">
        <v>45</v>
      </c>
      <c r="B74" s="28"/>
      <c r="C74" s="28"/>
      <c r="D74" s="28"/>
      <c r="E74" s="2"/>
      <c r="F74" s="2"/>
      <c r="G74" s="2"/>
      <c r="H74" s="24">
        <f>SUM(H72-H73)</f>
        <v>44418</v>
      </c>
    </row>
    <row r="75" spans="1:8" ht="15.75" thickTop="1" x14ac:dyDescent="0.25"/>
  </sheetData>
  <mergeCells count="26">
    <mergeCell ref="F39:H39"/>
    <mergeCell ref="A1:D1"/>
    <mergeCell ref="A4:C4"/>
    <mergeCell ref="F4:H4"/>
    <mergeCell ref="A6:F6"/>
    <mergeCell ref="G6:H6"/>
    <mergeCell ref="A18:C18"/>
    <mergeCell ref="A52:D52"/>
    <mergeCell ref="A22:B22"/>
    <mergeCell ref="A24:D24"/>
    <mergeCell ref="A27:B27"/>
    <mergeCell ref="A29:E29"/>
    <mergeCell ref="A30:B30"/>
    <mergeCell ref="G41:H41"/>
    <mergeCell ref="A44:D44"/>
    <mergeCell ref="A45:D45"/>
    <mergeCell ref="A46:D46"/>
    <mergeCell ref="A51:D51"/>
    <mergeCell ref="A73:D73"/>
    <mergeCell ref="A74:D74"/>
    <mergeCell ref="A57:D57"/>
    <mergeCell ref="A53:D53"/>
    <mergeCell ref="A58:D58"/>
    <mergeCell ref="A65:D65"/>
    <mergeCell ref="A70:D70"/>
    <mergeCell ref="A71:D71"/>
  </mergeCells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5"/>
  <sheetViews>
    <sheetView topLeftCell="A22" workbookViewId="0">
      <selection activeCell="I22" sqref="I1:S1048576"/>
    </sheetView>
  </sheetViews>
  <sheetFormatPr defaultRowHeight="15" x14ac:dyDescent="0.25"/>
  <cols>
    <col min="5" max="5" width="12.5703125" customWidth="1"/>
    <col min="6" max="8" width="14.140625" customWidth="1"/>
  </cols>
  <sheetData>
    <row r="1" spans="1:8" s="3" customFormat="1" ht="20.25" x14ac:dyDescent="0.3">
      <c r="A1" s="1" t="s">
        <v>69</v>
      </c>
      <c r="B1" s="1"/>
      <c r="C1" s="1"/>
      <c r="D1" s="1"/>
      <c r="E1" s="1"/>
      <c r="F1" s="1"/>
      <c r="G1" s="1"/>
      <c r="H1" s="2"/>
    </row>
    <row r="2" spans="1:8" s="3" customFormat="1" ht="20.25" x14ac:dyDescent="0.3">
      <c r="A2" s="1"/>
      <c r="B2" s="1"/>
      <c r="C2" s="1"/>
      <c r="D2" s="1"/>
      <c r="E2" s="1"/>
      <c r="F2" s="1"/>
      <c r="G2" s="1"/>
      <c r="H2" s="2"/>
    </row>
    <row r="3" spans="1:8" s="3" customFormat="1" ht="20.25" x14ac:dyDescent="0.3">
      <c r="A3" s="1"/>
      <c r="B3" s="1"/>
      <c r="C3" s="1"/>
      <c r="D3" s="1"/>
      <c r="E3" s="1"/>
      <c r="F3" s="1"/>
      <c r="G3" s="1"/>
      <c r="H3" s="2"/>
    </row>
    <row r="4" spans="1:8" s="3" customFormat="1" ht="20.25" x14ac:dyDescent="0.3">
      <c r="A4" s="30" t="s">
        <v>1</v>
      </c>
      <c r="B4" s="30"/>
      <c r="C4" s="30"/>
      <c r="D4" s="1"/>
      <c r="E4" s="1"/>
      <c r="F4" s="34" t="s">
        <v>70</v>
      </c>
      <c r="G4" s="34"/>
      <c r="H4" s="34"/>
    </row>
    <row r="5" spans="1:8" s="3" customFormat="1" ht="20.25" x14ac:dyDescent="0.3">
      <c r="A5" s="4"/>
      <c r="B5" s="1"/>
      <c r="C5" s="1"/>
      <c r="D5" s="1"/>
      <c r="E5" s="1"/>
      <c r="F5" s="1"/>
      <c r="G5" s="5"/>
      <c r="H5" s="6"/>
    </row>
    <row r="6" spans="1:8" s="3" customFormat="1" ht="20.25" x14ac:dyDescent="0.3">
      <c r="A6" s="30" t="s">
        <v>3</v>
      </c>
      <c r="B6" s="30"/>
      <c r="C6" s="30"/>
      <c r="D6" s="30"/>
      <c r="E6" s="30"/>
      <c r="F6" s="30"/>
      <c r="G6" s="31" t="s">
        <v>71</v>
      </c>
      <c r="H6" s="31"/>
    </row>
    <row r="7" spans="1:8" s="3" customFormat="1" ht="20.25" x14ac:dyDescent="0.3">
      <c r="A7" s="8"/>
      <c r="B7" s="9"/>
      <c r="C7" s="9"/>
      <c r="D7" s="9"/>
      <c r="E7" s="9"/>
      <c r="F7" s="9"/>
      <c r="G7" s="7"/>
      <c r="H7" s="10"/>
    </row>
    <row r="8" spans="1:8" s="3" customFormat="1" ht="20.25" x14ac:dyDescent="0.3">
      <c r="A8" s="8"/>
      <c r="B8" s="9"/>
      <c r="C8" s="9"/>
      <c r="D8" s="9"/>
      <c r="E8" s="9"/>
      <c r="F8" s="9"/>
      <c r="G8" s="7"/>
      <c r="H8" s="10"/>
    </row>
    <row r="9" spans="1:8" s="3" customFormat="1" ht="20.25" x14ac:dyDescent="0.3">
      <c r="A9" s="4"/>
      <c r="B9" s="2"/>
      <c r="C9" s="2"/>
      <c r="D9" s="2"/>
      <c r="E9" s="2"/>
      <c r="F9" s="2"/>
      <c r="G9" s="2"/>
      <c r="H9" s="2"/>
    </row>
    <row r="10" spans="1:8" s="3" customFormat="1" ht="20.25" x14ac:dyDescent="0.3">
      <c r="A10" s="2"/>
      <c r="B10" s="2"/>
      <c r="C10" s="2"/>
      <c r="D10" s="2"/>
      <c r="E10" s="2"/>
      <c r="F10" s="11" t="s">
        <v>5</v>
      </c>
      <c r="G10" s="2" t="s">
        <v>6</v>
      </c>
      <c r="H10" s="11" t="s">
        <v>5</v>
      </c>
    </row>
    <row r="11" spans="1:8" s="3" customFormat="1" ht="20.25" x14ac:dyDescent="0.3">
      <c r="A11" s="1" t="s">
        <v>7</v>
      </c>
      <c r="B11" s="2"/>
      <c r="C11" s="2"/>
      <c r="D11" s="2"/>
      <c r="E11" s="2"/>
      <c r="F11" s="2"/>
      <c r="G11" s="2"/>
      <c r="H11" s="12">
        <v>398600</v>
      </c>
    </row>
    <row r="12" spans="1:8" s="3" customFormat="1" ht="20.25" x14ac:dyDescent="0.3">
      <c r="A12" s="2"/>
      <c r="B12" s="2"/>
      <c r="C12" s="2"/>
      <c r="D12" s="2"/>
      <c r="E12" s="2"/>
      <c r="F12" s="2"/>
      <c r="G12" s="2"/>
      <c r="H12" s="2"/>
    </row>
    <row r="13" spans="1:8" s="3" customFormat="1" ht="20.25" x14ac:dyDescent="0.3">
      <c r="A13" s="26" t="s">
        <v>8</v>
      </c>
      <c r="B13" s="26"/>
      <c r="C13" s="25"/>
      <c r="D13" s="2"/>
      <c r="E13" s="2"/>
      <c r="F13" s="2"/>
      <c r="G13" s="2"/>
      <c r="H13" s="2"/>
    </row>
    <row r="14" spans="1:8" s="3" customFormat="1" ht="20.25" x14ac:dyDescent="0.3">
      <c r="A14" s="2" t="s">
        <v>9</v>
      </c>
      <c r="B14" s="2"/>
      <c r="C14" s="2"/>
      <c r="D14" s="2"/>
      <c r="E14" s="2"/>
      <c r="F14" s="10">
        <v>36500</v>
      </c>
      <c r="G14" s="2"/>
      <c r="H14" s="13"/>
    </row>
    <row r="15" spans="1:8" s="3" customFormat="1" ht="21" thickBot="1" x14ac:dyDescent="0.35">
      <c r="A15" s="2" t="s">
        <v>10</v>
      </c>
      <c r="B15" s="2"/>
      <c r="C15" s="2"/>
      <c r="D15" s="2"/>
      <c r="E15" s="2"/>
      <c r="F15" s="14">
        <v>177852</v>
      </c>
      <c r="G15" s="2"/>
      <c r="H15" s="2"/>
    </row>
    <row r="16" spans="1:8" s="3" customFormat="1" ht="21" thickTop="1" x14ac:dyDescent="0.3">
      <c r="A16" s="13"/>
      <c r="B16" s="2"/>
      <c r="C16" s="2"/>
      <c r="D16" s="2"/>
      <c r="E16" s="2"/>
      <c r="F16" s="10">
        <f>SUM(F14:F15)</f>
        <v>214352</v>
      </c>
      <c r="G16" s="2"/>
      <c r="H16" s="2"/>
    </row>
    <row r="17" spans="1:8" s="3" customFormat="1" ht="21" thickBot="1" x14ac:dyDescent="0.35">
      <c r="A17" s="2" t="s">
        <v>11</v>
      </c>
      <c r="B17" s="2"/>
      <c r="C17" s="2"/>
      <c r="D17" s="2"/>
      <c r="E17" s="2"/>
      <c r="F17" s="14">
        <v>21875</v>
      </c>
      <c r="G17" s="2"/>
      <c r="H17" s="14">
        <f>SUM(F16-F17)</f>
        <v>192477</v>
      </c>
    </row>
    <row r="18" spans="1:8" s="3" customFormat="1" ht="21.75" thickTop="1" thickBot="1" x14ac:dyDescent="0.35">
      <c r="A18" s="28" t="s">
        <v>12</v>
      </c>
      <c r="B18" s="28"/>
      <c r="C18" s="28"/>
      <c r="D18" s="2"/>
      <c r="E18" s="2"/>
      <c r="F18" s="2"/>
      <c r="G18" s="2"/>
      <c r="H18" s="15">
        <f>SUM(H11-H17)</f>
        <v>206123</v>
      </c>
    </row>
    <row r="19" spans="1:8" s="3" customFormat="1" ht="21" thickTop="1" x14ac:dyDescent="0.3">
      <c r="A19" s="2"/>
      <c r="B19" s="2"/>
      <c r="C19" s="2"/>
      <c r="D19" s="2"/>
      <c r="E19" s="2"/>
      <c r="F19" s="2"/>
      <c r="G19" s="2"/>
      <c r="H19" s="16"/>
    </row>
    <row r="20" spans="1:8" s="3" customFormat="1" ht="20.25" x14ac:dyDescent="0.3">
      <c r="A20" s="2"/>
      <c r="B20" s="2"/>
      <c r="C20" s="2"/>
      <c r="D20" s="2"/>
      <c r="E20" s="2"/>
      <c r="F20" s="2"/>
      <c r="G20" s="2"/>
      <c r="H20" s="16"/>
    </row>
    <row r="21" spans="1:8" s="3" customFormat="1" ht="20.25" x14ac:dyDescent="0.3">
      <c r="A21" s="2"/>
      <c r="B21" s="2"/>
      <c r="C21" s="2"/>
      <c r="D21" s="2"/>
      <c r="E21" s="2"/>
      <c r="F21" s="2"/>
      <c r="G21" s="2"/>
      <c r="H21" s="16"/>
    </row>
    <row r="22" spans="1:8" s="3" customFormat="1" ht="20.25" x14ac:dyDescent="0.3">
      <c r="A22" s="30" t="s">
        <v>13</v>
      </c>
      <c r="B22" s="30"/>
      <c r="C22" s="2"/>
      <c r="D22" s="2"/>
      <c r="E22" s="2"/>
      <c r="F22" s="2"/>
      <c r="G22" s="2"/>
      <c r="H22" s="2"/>
    </row>
    <row r="23" spans="1:8" s="3" customFormat="1" ht="20.25" x14ac:dyDescent="0.3">
      <c r="A23" s="2" t="s">
        <v>49</v>
      </c>
      <c r="B23" s="2"/>
      <c r="C23" s="2"/>
      <c r="D23" s="2"/>
      <c r="E23" s="2"/>
      <c r="F23" s="10">
        <v>101500</v>
      </c>
      <c r="G23" s="13"/>
      <c r="H23" s="2"/>
    </row>
    <row r="24" spans="1:8" s="3" customFormat="1" ht="20.25" x14ac:dyDescent="0.3">
      <c r="A24" s="29" t="s">
        <v>56</v>
      </c>
      <c r="B24" s="29"/>
      <c r="C24" s="29"/>
      <c r="D24" s="29"/>
      <c r="E24" s="2"/>
      <c r="F24" s="10">
        <v>14587</v>
      </c>
      <c r="G24" s="13"/>
      <c r="H24" s="2"/>
    </row>
    <row r="25" spans="1:8" s="3" customFormat="1" ht="20.25" x14ac:dyDescent="0.3">
      <c r="A25" s="2" t="s">
        <v>14</v>
      </c>
      <c r="B25" s="2"/>
      <c r="C25" s="2"/>
      <c r="D25" s="2"/>
      <c r="E25" s="2"/>
      <c r="F25" s="10">
        <v>3700</v>
      </c>
      <c r="G25" s="2"/>
      <c r="H25" s="2"/>
    </row>
    <row r="26" spans="1:8" s="3" customFormat="1" ht="20.25" x14ac:dyDescent="0.3">
      <c r="A26" s="2" t="s">
        <v>57</v>
      </c>
      <c r="B26" s="2"/>
      <c r="C26" s="2"/>
      <c r="D26" s="2"/>
      <c r="E26" s="2"/>
      <c r="F26" s="10">
        <v>10874</v>
      </c>
      <c r="G26" s="2"/>
      <c r="H26" s="2"/>
    </row>
    <row r="27" spans="1:8" s="3" customFormat="1" ht="20.25" x14ac:dyDescent="0.3">
      <c r="A27" s="29" t="s">
        <v>58</v>
      </c>
      <c r="B27" s="29"/>
      <c r="C27" s="2"/>
      <c r="D27" s="2"/>
      <c r="E27" s="2"/>
      <c r="F27" s="10">
        <v>4857</v>
      </c>
      <c r="G27" s="2"/>
      <c r="H27" s="2"/>
    </row>
    <row r="28" spans="1:8" s="3" customFormat="1" ht="20.25" x14ac:dyDescent="0.3">
      <c r="A28" s="2" t="s">
        <v>72</v>
      </c>
      <c r="B28" s="2"/>
      <c r="C28" s="2"/>
      <c r="D28" s="2"/>
      <c r="E28" s="2"/>
      <c r="F28" s="10">
        <v>4695</v>
      </c>
      <c r="G28" s="2"/>
      <c r="H28" s="2"/>
    </row>
    <row r="29" spans="1:8" s="3" customFormat="1" ht="21" thickBot="1" x14ac:dyDescent="0.35">
      <c r="A29" s="29" t="s">
        <v>19</v>
      </c>
      <c r="B29" s="29"/>
      <c r="C29" s="29"/>
      <c r="D29" s="29"/>
      <c r="E29" s="29"/>
      <c r="F29" s="14">
        <v>850</v>
      </c>
      <c r="G29" s="2"/>
      <c r="H29" s="2">
        <f>SUM(F23:F29)</f>
        <v>141063</v>
      </c>
    </row>
    <row r="30" spans="1:8" s="3" customFormat="1" ht="21.75" thickTop="1" thickBot="1" x14ac:dyDescent="0.35">
      <c r="A30" s="28" t="s">
        <v>21</v>
      </c>
      <c r="B30" s="28"/>
      <c r="C30" s="2"/>
      <c r="D30" s="2"/>
      <c r="E30" s="2"/>
      <c r="F30" s="13"/>
      <c r="G30" s="13"/>
      <c r="H30" s="15">
        <f>SUM(H18-H29)</f>
        <v>65060</v>
      </c>
    </row>
    <row r="31" spans="1:8" s="3" customFormat="1" ht="21" thickTop="1" x14ac:dyDescent="0.3">
      <c r="A31" s="27"/>
      <c r="B31" s="27"/>
      <c r="C31" s="2"/>
      <c r="D31" s="2"/>
      <c r="E31" s="2"/>
      <c r="F31" s="13"/>
      <c r="G31" s="13"/>
      <c r="H31" s="12"/>
    </row>
    <row r="32" spans="1:8" s="3" customFormat="1" ht="20.25" x14ac:dyDescent="0.3">
      <c r="A32" s="2"/>
      <c r="B32" s="2"/>
      <c r="C32" s="2"/>
      <c r="D32" s="2"/>
      <c r="E32" s="2"/>
      <c r="F32" s="2"/>
      <c r="G32" s="2"/>
      <c r="H32" s="13"/>
    </row>
    <row r="39" spans="1:8" s="3" customFormat="1" ht="20.25" x14ac:dyDescent="0.3">
      <c r="A39" s="26" t="s">
        <v>1</v>
      </c>
      <c r="B39" s="26"/>
      <c r="C39" s="26"/>
      <c r="D39" s="6"/>
      <c r="E39" s="6"/>
      <c r="F39" s="32" t="s">
        <v>70</v>
      </c>
      <c r="G39" s="32"/>
      <c r="H39" s="32"/>
    </row>
    <row r="40" spans="1:8" s="3" customFormat="1" ht="20.25" x14ac:dyDescent="0.3">
      <c r="A40" s="4"/>
      <c r="B40" s="4"/>
      <c r="C40" s="4"/>
      <c r="D40" s="1"/>
      <c r="E40" s="1"/>
      <c r="F40" s="1"/>
      <c r="G40" s="1"/>
      <c r="H40" s="2"/>
    </row>
    <row r="41" spans="1:8" s="3" customFormat="1" ht="20.25" x14ac:dyDescent="0.3">
      <c r="A41" s="1" t="s">
        <v>22</v>
      </c>
      <c r="B41" s="1"/>
      <c r="C41" s="1"/>
      <c r="D41" s="1"/>
      <c r="E41" s="1"/>
      <c r="F41" s="6"/>
      <c r="G41" s="33" t="s">
        <v>71</v>
      </c>
      <c r="H41" s="33"/>
    </row>
    <row r="42" spans="1:8" s="3" customFormat="1" ht="20.25" x14ac:dyDescent="0.3">
      <c r="A42" s="1"/>
      <c r="B42" s="1"/>
      <c r="C42" s="1"/>
      <c r="D42" s="1"/>
      <c r="E42" s="1"/>
      <c r="F42" s="1"/>
      <c r="G42" s="1"/>
      <c r="H42" s="2"/>
    </row>
    <row r="43" spans="1:8" s="3" customFormat="1" ht="20.25" x14ac:dyDescent="0.3">
      <c r="A43" s="4" t="s">
        <v>23</v>
      </c>
      <c r="B43" s="1"/>
      <c r="C43" s="1"/>
      <c r="D43" s="2"/>
      <c r="E43" s="2"/>
      <c r="F43" s="11" t="s">
        <v>24</v>
      </c>
      <c r="G43" s="11" t="s">
        <v>25</v>
      </c>
      <c r="H43" s="11" t="s">
        <v>26</v>
      </c>
    </row>
    <row r="44" spans="1:8" s="3" customFormat="1" ht="20.25" x14ac:dyDescent="0.3">
      <c r="A44" s="29" t="s">
        <v>27</v>
      </c>
      <c r="B44" s="29"/>
      <c r="C44" s="29"/>
      <c r="D44" s="29"/>
      <c r="E44" s="2"/>
      <c r="F44" s="2"/>
      <c r="G44" s="2"/>
      <c r="H44" s="16">
        <v>200000</v>
      </c>
    </row>
    <row r="45" spans="1:8" s="3" customFormat="1" ht="20.25" x14ac:dyDescent="0.3">
      <c r="A45" s="29" t="s">
        <v>52</v>
      </c>
      <c r="B45" s="29"/>
      <c r="C45" s="29"/>
      <c r="D45" s="29"/>
      <c r="E45" s="2"/>
      <c r="F45" s="2">
        <v>15650</v>
      </c>
      <c r="G45" s="2">
        <v>4695</v>
      </c>
      <c r="H45" s="16">
        <f>(F45-G45)</f>
        <v>10955</v>
      </c>
    </row>
    <row r="46" spans="1:8" s="3" customFormat="1" ht="21" thickBot="1" x14ac:dyDescent="0.35">
      <c r="A46" s="29" t="s">
        <v>61</v>
      </c>
      <c r="B46" s="29"/>
      <c r="C46" s="29"/>
      <c r="D46" s="29"/>
      <c r="E46" s="2"/>
      <c r="F46" s="2">
        <v>8500</v>
      </c>
      <c r="G46" s="2">
        <v>850</v>
      </c>
      <c r="H46" s="16">
        <f>(F46-G46)</f>
        <v>7650</v>
      </c>
    </row>
    <row r="47" spans="1:8" s="3" customFormat="1" ht="21" thickTop="1" x14ac:dyDescent="0.3">
      <c r="A47" s="2"/>
      <c r="B47" s="2"/>
      <c r="C47" s="2"/>
      <c r="D47" s="2"/>
      <c r="E47" s="2"/>
      <c r="F47" s="2"/>
      <c r="G47" s="2"/>
      <c r="H47" s="17">
        <f>SUM(H44:H46)</f>
        <v>218605</v>
      </c>
    </row>
    <row r="48" spans="1:8" s="3" customFormat="1" ht="20.25" x14ac:dyDescent="0.3">
      <c r="A48" s="2"/>
      <c r="B48" s="2"/>
      <c r="C48" s="2"/>
      <c r="D48" s="2"/>
      <c r="E48" s="2"/>
      <c r="F48" s="2"/>
      <c r="G48" s="2"/>
      <c r="H48" s="16"/>
    </row>
    <row r="49" spans="1:8" s="3" customFormat="1" ht="20.25" x14ac:dyDescent="0.3">
      <c r="A49" s="2"/>
      <c r="B49" s="2"/>
      <c r="C49" s="2"/>
      <c r="D49" s="2"/>
      <c r="E49" s="2"/>
      <c r="F49" s="2"/>
      <c r="G49" s="2"/>
      <c r="H49" s="2"/>
    </row>
    <row r="50" spans="1:8" s="3" customFormat="1" ht="20.25" x14ac:dyDescent="0.3">
      <c r="A50" s="4" t="s">
        <v>30</v>
      </c>
      <c r="B50" s="1"/>
      <c r="C50" s="1"/>
      <c r="D50" s="1"/>
      <c r="E50" s="2"/>
      <c r="F50" s="2"/>
      <c r="G50" s="2"/>
      <c r="H50" s="2"/>
    </row>
    <row r="51" spans="1:8" s="3" customFormat="1" ht="20.25" x14ac:dyDescent="0.3">
      <c r="A51" s="29" t="s">
        <v>31</v>
      </c>
      <c r="B51" s="29"/>
      <c r="C51" s="29"/>
      <c r="D51" s="29"/>
      <c r="E51" s="2"/>
      <c r="F51" s="2"/>
      <c r="G51" s="2">
        <v>21875</v>
      </c>
      <c r="H51" s="2"/>
    </row>
    <row r="52" spans="1:8" s="3" customFormat="1" ht="20.25" x14ac:dyDescent="0.3">
      <c r="A52" s="29" t="s">
        <v>32</v>
      </c>
      <c r="B52" s="29"/>
      <c r="C52" s="29"/>
      <c r="D52" s="29"/>
      <c r="E52" s="2"/>
      <c r="F52" s="2"/>
      <c r="G52" s="16">
        <v>15400</v>
      </c>
      <c r="H52" s="2"/>
    </row>
    <row r="53" spans="1:8" s="3" customFormat="1" ht="20.25" x14ac:dyDescent="0.3">
      <c r="A53" s="29" t="s">
        <v>62</v>
      </c>
      <c r="B53" s="29"/>
      <c r="C53" s="29"/>
      <c r="D53" s="29"/>
      <c r="E53" s="2"/>
      <c r="F53" s="2"/>
      <c r="G53" s="2">
        <v>10250</v>
      </c>
      <c r="H53" s="2"/>
    </row>
    <row r="54" spans="1:8" s="3" customFormat="1" ht="21" thickBot="1" x14ac:dyDescent="0.35">
      <c r="A54" s="29" t="s">
        <v>63</v>
      </c>
      <c r="B54" s="29"/>
      <c r="C54" s="29"/>
      <c r="D54" s="29"/>
      <c r="E54" s="2"/>
      <c r="F54" s="2"/>
      <c r="G54" s="2">
        <v>5930</v>
      </c>
      <c r="H54" s="2"/>
    </row>
    <row r="55" spans="1:8" s="3" customFormat="1" ht="21" thickTop="1" x14ac:dyDescent="0.3">
      <c r="A55" s="2"/>
      <c r="B55" s="2"/>
      <c r="C55" s="2"/>
      <c r="D55" s="2"/>
      <c r="E55" s="2"/>
      <c r="F55" s="2"/>
      <c r="G55" s="17">
        <f>SUM(G51:G54)</f>
        <v>53455</v>
      </c>
      <c r="H55" s="2"/>
    </row>
    <row r="56" spans="1:8" s="3" customFormat="1" ht="20.25" x14ac:dyDescent="0.3">
      <c r="A56" s="2"/>
      <c r="B56" s="2"/>
      <c r="C56" s="2"/>
      <c r="D56" s="2"/>
      <c r="E56" s="2"/>
      <c r="F56" s="2"/>
      <c r="G56" s="16"/>
      <c r="H56" s="2"/>
    </row>
    <row r="57" spans="1:8" s="3" customFormat="1" ht="20.25" x14ac:dyDescent="0.3">
      <c r="A57" s="4" t="s">
        <v>33</v>
      </c>
      <c r="B57" s="1"/>
      <c r="C57" s="1"/>
      <c r="D57" s="1"/>
      <c r="E57" s="2"/>
      <c r="F57" s="2"/>
      <c r="G57" s="2"/>
      <c r="H57" s="2"/>
    </row>
    <row r="58" spans="1:8" s="3" customFormat="1" ht="21" thickBot="1" x14ac:dyDescent="0.35">
      <c r="A58" s="29" t="s">
        <v>35</v>
      </c>
      <c r="B58" s="29"/>
      <c r="C58" s="29"/>
      <c r="D58" s="29"/>
      <c r="E58" s="2"/>
      <c r="F58" s="16">
        <v>18000</v>
      </c>
      <c r="G58" s="2"/>
      <c r="H58" s="16"/>
    </row>
    <row r="59" spans="1:8" s="3" customFormat="1" ht="21" thickTop="1" x14ac:dyDescent="0.3">
      <c r="A59" s="25"/>
      <c r="B59" s="25"/>
      <c r="C59" s="25"/>
      <c r="D59" s="25"/>
      <c r="E59" s="2"/>
      <c r="F59" s="17">
        <f>SUM(F58:F58)</f>
        <v>18000</v>
      </c>
      <c r="G59" s="2"/>
      <c r="H59" s="16"/>
    </row>
    <row r="60" spans="1:8" s="3" customFormat="1" ht="21" thickBot="1" x14ac:dyDescent="0.35">
      <c r="A60" s="2" t="s">
        <v>36</v>
      </c>
      <c r="B60" s="2"/>
      <c r="C60" s="2"/>
      <c r="D60" s="2"/>
      <c r="E60" s="2"/>
      <c r="F60" s="2"/>
      <c r="G60" s="2"/>
      <c r="H60" s="18">
        <f>SUM(G55-F59)</f>
        <v>35455</v>
      </c>
    </row>
    <row r="61" spans="1:8" s="3" customFormat="1" ht="21" thickTop="1" x14ac:dyDescent="0.3">
      <c r="A61" s="2" t="s">
        <v>37</v>
      </c>
      <c r="B61" s="2"/>
      <c r="C61" s="2"/>
      <c r="D61" s="2"/>
      <c r="E61" s="2"/>
      <c r="F61" s="2"/>
      <c r="G61" s="2"/>
      <c r="H61" s="16">
        <f>SUM(H47:H60)</f>
        <v>254060</v>
      </c>
    </row>
    <row r="62" spans="1:8" s="3" customFormat="1" ht="20.25" x14ac:dyDescent="0.3">
      <c r="A62" s="2"/>
      <c r="B62" s="2"/>
      <c r="C62" s="2"/>
      <c r="D62" s="2"/>
      <c r="E62" s="2"/>
      <c r="F62" s="2"/>
      <c r="G62" s="2"/>
      <c r="H62" s="19"/>
    </row>
    <row r="63" spans="1:8" s="3" customFormat="1" ht="20.25" x14ac:dyDescent="0.3">
      <c r="A63" s="2" t="s">
        <v>6</v>
      </c>
      <c r="B63" s="2"/>
      <c r="C63" s="2"/>
      <c r="D63" s="2"/>
      <c r="E63" s="2"/>
      <c r="F63" s="2"/>
      <c r="G63" s="2"/>
      <c r="H63" s="2"/>
    </row>
    <row r="64" spans="1:8" s="3" customFormat="1" ht="20.25" x14ac:dyDescent="0.3">
      <c r="A64" s="4" t="s">
        <v>38</v>
      </c>
      <c r="B64" s="1"/>
      <c r="C64" s="1"/>
      <c r="D64" s="1"/>
      <c r="E64" s="2"/>
      <c r="F64" s="2"/>
      <c r="G64" s="2"/>
      <c r="H64" s="2"/>
    </row>
    <row r="65" spans="1:8" s="3" customFormat="1" ht="21" thickBot="1" x14ac:dyDescent="0.35">
      <c r="A65" s="29" t="s">
        <v>39</v>
      </c>
      <c r="B65" s="29"/>
      <c r="C65" s="29"/>
      <c r="D65" s="29"/>
      <c r="E65" s="2"/>
      <c r="F65" s="2"/>
      <c r="G65" s="2"/>
      <c r="H65" s="16">
        <v>17500</v>
      </c>
    </row>
    <row r="66" spans="1:8" s="3" customFormat="1" ht="21.75" thickTop="1" thickBot="1" x14ac:dyDescent="0.35">
      <c r="A66" s="1" t="s">
        <v>40</v>
      </c>
      <c r="B66" s="1"/>
      <c r="C66" s="1"/>
      <c r="D66" s="2"/>
      <c r="E66" s="2"/>
      <c r="F66" s="2"/>
      <c r="G66" s="2"/>
      <c r="H66" s="20">
        <f>SUM(H61-H65)</f>
        <v>236560</v>
      </c>
    </row>
    <row r="67" spans="1:8" s="3" customFormat="1" ht="21" thickTop="1" x14ac:dyDescent="0.3">
      <c r="A67" s="2"/>
      <c r="B67" s="2"/>
      <c r="C67" s="2"/>
      <c r="D67" s="2"/>
      <c r="E67" s="2"/>
      <c r="F67" s="2"/>
      <c r="G67" s="2"/>
      <c r="H67" s="19"/>
    </row>
    <row r="68" spans="1:8" s="3" customFormat="1" ht="20.25" x14ac:dyDescent="0.3">
      <c r="A68" s="2"/>
      <c r="B68" s="2"/>
      <c r="C68" s="2"/>
      <c r="D68" s="2"/>
      <c r="E68" s="2"/>
      <c r="F68" s="2"/>
      <c r="G68" s="2"/>
      <c r="H68" s="2"/>
    </row>
    <row r="69" spans="1:8" s="3" customFormat="1" ht="20.25" x14ac:dyDescent="0.3">
      <c r="A69" s="4" t="s">
        <v>41</v>
      </c>
      <c r="B69" s="1"/>
      <c r="C69" s="1"/>
      <c r="D69" s="2"/>
      <c r="E69" s="2"/>
      <c r="F69" s="2"/>
      <c r="G69" s="2"/>
      <c r="H69" s="2"/>
    </row>
    <row r="70" spans="1:8" s="3" customFormat="1" ht="20.25" x14ac:dyDescent="0.3">
      <c r="A70" s="29" t="s">
        <v>42</v>
      </c>
      <c r="B70" s="29"/>
      <c r="C70" s="29"/>
      <c r="D70" s="29"/>
      <c r="E70" s="2"/>
      <c r="F70" s="2"/>
      <c r="G70" s="2"/>
      <c r="H70" s="21">
        <v>200000</v>
      </c>
    </row>
    <row r="71" spans="1:8" s="3" customFormat="1" ht="21" thickBot="1" x14ac:dyDescent="0.35">
      <c r="A71" s="29" t="s">
        <v>43</v>
      </c>
      <c r="B71" s="29"/>
      <c r="C71" s="29"/>
      <c r="D71" s="29"/>
      <c r="E71" s="2"/>
      <c r="F71" s="2"/>
      <c r="G71" s="2"/>
      <c r="H71" s="21">
        <v>65060</v>
      </c>
    </row>
    <row r="72" spans="1:8" s="3" customFormat="1" ht="21" thickTop="1" x14ac:dyDescent="0.3">
      <c r="A72" s="2"/>
      <c r="B72" s="2"/>
      <c r="C72" s="2"/>
      <c r="D72" s="2"/>
      <c r="E72" s="2"/>
      <c r="F72" s="2"/>
      <c r="G72" s="2"/>
      <c r="H72" s="22">
        <f>SUM(H70:H71)</f>
        <v>265060</v>
      </c>
    </row>
    <row r="73" spans="1:8" s="3" customFormat="1" ht="21" thickBot="1" x14ac:dyDescent="0.35">
      <c r="A73" s="29" t="s">
        <v>44</v>
      </c>
      <c r="B73" s="29"/>
      <c r="C73" s="29"/>
      <c r="D73" s="29"/>
      <c r="E73" s="2"/>
      <c r="F73" s="2"/>
      <c r="G73" s="2"/>
      <c r="H73" s="23">
        <v>28500</v>
      </c>
    </row>
    <row r="74" spans="1:8" s="3" customFormat="1" ht="21.75" thickTop="1" thickBot="1" x14ac:dyDescent="0.35">
      <c r="A74" s="28" t="s">
        <v>45</v>
      </c>
      <c r="B74" s="28"/>
      <c r="C74" s="28"/>
      <c r="D74" s="28"/>
      <c r="E74" s="2"/>
      <c r="F74" s="2"/>
      <c r="G74" s="2"/>
      <c r="H74" s="24">
        <f>SUM(H72-H73)</f>
        <v>236560</v>
      </c>
    </row>
    <row r="75" spans="1:8" ht="15.75" thickTop="1" x14ac:dyDescent="0.25"/>
  </sheetData>
  <mergeCells count="25">
    <mergeCell ref="F39:H39"/>
    <mergeCell ref="A4:C4"/>
    <mergeCell ref="F4:H4"/>
    <mergeCell ref="A6:F6"/>
    <mergeCell ref="G6:H6"/>
    <mergeCell ref="A18:C18"/>
    <mergeCell ref="A52:D52"/>
    <mergeCell ref="A22:B22"/>
    <mergeCell ref="A24:D24"/>
    <mergeCell ref="A27:B27"/>
    <mergeCell ref="A29:E29"/>
    <mergeCell ref="A30:B30"/>
    <mergeCell ref="G41:H41"/>
    <mergeCell ref="A44:D44"/>
    <mergeCell ref="A45:D45"/>
    <mergeCell ref="A46:D46"/>
    <mergeCell ref="A51:D51"/>
    <mergeCell ref="A73:D73"/>
    <mergeCell ref="A74:D74"/>
    <mergeCell ref="A53:D53"/>
    <mergeCell ref="A54:D54"/>
    <mergeCell ref="A58:D58"/>
    <mergeCell ref="A65:D65"/>
    <mergeCell ref="A70:D70"/>
    <mergeCell ref="A71:D71"/>
  </mergeCells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5"/>
  <sheetViews>
    <sheetView topLeftCell="A16" workbookViewId="0">
      <selection activeCell="I16" sqref="I1:S1048576"/>
    </sheetView>
  </sheetViews>
  <sheetFormatPr defaultRowHeight="15" x14ac:dyDescent="0.25"/>
  <cols>
    <col min="5" max="5" width="12.5703125" customWidth="1"/>
    <col min="6" max="8" width="14.140625" customWidth="1"/>
  </cols>
  <sheetData>
    <row r="1" spans="1:8" s="3" customFormat="1" ht="20.25" x14ac:dyDescent="0.3">
      <c r="A1" s="28" t="s">
        <v>73</v>
      </c>
      <c r="B1" s="28"/>
      <c r="C1" s="28"/>
      <c r="D1" s="28"/>
      <c r="E1" s="1"/>
      <c r="F1" s="1"/>
      <c r="G1" s="1"/>
      <c r="H1" s="2"/>
    </row>
    <row r="2" spans="1:8" s="3" customFormat="1" ht="20.25" x14ac:dyDescent="0.3">
      <c r="A2" s="1"/>
      <c r="B2" s="1"/>
      <c r="C2" s="1"/>
      <c r="D2" s="1"/>
      <c r="E2" s="1"/>
      <c r="F2" s="1"/>
      <c r="G2" s="1"/>
      <c r="H2" s="2"/>
    </row>
    <row r="3" spans="1:8" s="3" customFormat="1" ht="20.25" x14ac:dyDescent="0.3">
      <c r="A3" s="1"/>
      <c r="B3" s="1"/>
      <c r="C3" s="1"/>
      <c r="D3" s="1"/>
      <c r="E3" s="1"/>
      <c r="F3" s="1"/>
      <c r="G3" s="1"/>
      <c r="H3" s="2"/>
    </row>
    <row r="4" spans="1:8" s="3" customFormat="1" ht="20.25" x14ac:dyDescent="0.3">
      <c r="A4" s="30" t="s">
        <v>1</v>
      </c>
      <c r="B4" s="30"/>
      <c r="C4" s="30"/>
      <c r="D4" s="1"/>
      <c r="E4" s="1"/>
      <c r="F4" s="34" t="s">
        <v>74</v>
      </c>
      <c r="G4" s="34"/>
      <c r="H4" s="34"/>
    </row>
    <row r="5" spans="1:8" s="3" customFormat="1" ht="20.25" x14ac:dyDescent="0.3">
      <c r="A5" s="4"/>
      <c r="B5" s="1"/>
      <c r="C5" s="1"/>
      <c r="D5" s="1"/>
      <c r="E5" s="1"/>
      <c r="F5" s="1"/>
      <c r="G5" s="5"/>
      <c r="H5" s="6"/>
    </row>
    <row r="6" spans="1:8" s="3" customFormat="1" ht="20.25" x14ac:dyDescent="0.3">
      <c r="A6" s="30" t="s">
        <v>3</v>
      </c>
      <c r="B6" s="30"/>
      <c r="C6" s="30"/>
      <c r="D6" s="30"/>
      <c r="E6" s="30"/>
      <c r="F6" s="30"/>
      <c r="G6" s="31" t="s">
        <v>75</v>
      </c>
      <c r="H6" s="31"/>
    </row>
    <row r="7" spans="1:8" s="3" customFormat="1" ht="20.25" x14ac:dyDescent="0.3">
      <c r="A7" s="8"/>
      <c r="B7" s="9"/>
      <c r="C7" s="9"/>
      <c r="D7" s="9"/>
      <c r="E7" s="9"/>
      <c r="F7" s="9"/>
      <c r="G7" s="7"/>
      <c r="H7" s="10"/>
    </row>
    <row r="8" spans="1:8" s="3" customFormat="1" ht="20.25" x14ac:dyDescent="0.3">
      <c r="A8" s="8"/>
      <c r="B8" s="9"/>
      <c r="C8" s="9"/>
      <c r="D8" s="9"/>
      <c r="E8" s="9"/>
      <c r="F8" s="9"/>
      <c r="G8" s="7"/>
      <c r="H8" s="10"/>
    </row>
    <row r="9" spans="1:8" s="3" customFormat="1" ht="20.25" x14ac:dyDescent="0.3">
      <c r="A9" s="4"/>
      <c r="B9" s="2"/>
      <c r="C9" s="2"/>
      <c r="D9" s="2"/>
      <c r="E9" s="2"/>
      <c r="F9" s="2"/>
      <c r="G9" s="2"/>
      <c r="H9" s="2"/>
    </row>
    <row r="10" spans="1:8" s="3" customFormat="1" ht="20.25" x14ac:dyDescent="0.3">
      <c r="A10" s="2"/>
      <c r="B10" s="2"/>
      <c r="C10" s="2"/>
      <c r="D10" s="2"/>
      <c r="E10" s="2"/>
      <c r="F10" s="11" t="s">
        <v>5</v>
      </c>
      <c r="G10" s="2" t="s">
        <v>6</v>
      </c>
      <c r="H10" s="11" t="s">
        <v>5</v>
      </c>
    </row>
    <row r="11" spans="1:8" s="3" customFormat="1" ht="20.25" x14ac:dyDescent="0.3">
      <c r="A11" s="1" t="s">
        <v>7</v>
      </c>
      <c r="B11" s="2"/>
      <c r="C11" s="2"/>
      <c r="D11" s="2"/>
      <c r="E11" s="2"/>
      <c r="F11" s="2"/>
      <c r="G11" s="2"/>
      <c r="H11" s="12">
        <v>195462</v>
      </c>
    </row>
    <row r="12" spans="1:8" s="3" customFormat="1" ht="20.25" x14ac:dyDescent="0.3">
      <c r="A12" s="2"/>
      <c r="B12" s="2"/>
      <c r="C12" s="2"/>
      <c r="D12" s="2"/>
      <c r="E12" s="2"/>
      <c r="F12" s="2"/>
      <c r="G12" s="2"/>
      <c r="H12" s="2"/>
    </row>
    <row r="13" spans="1:8" s="3" customFormat="1" ht="20.25" x14ac:dyDescent="0.3">
      <c r="A13" s="26" t="s">
        <v>8</v>
      </c>
      <c r="B13" s="26"/>
      <c r="C13" s="25"/>
      <c r="D13" s="2"/>
      <c r="E13" s="2"/>
      <c r="F13" s="2"/>
      <c r="G13" s="2"/>
      <c r="H13" s="2"/>
    </row>
    <row r="14" spans="1:8" s="3" customFormat="1" ht="20.25" x14ac:dyDescent="0.3">
      <c r="A14" s="2" t="s">
        <v>9</v>
      </c>
      <c r="B14" s="2"/>
      <c r="C14" s="2"/>
      <c r="D14" s="2"/>
      <c r="E14" s="2"/>
      <c r="F14" s="10">
        <v>16500</v>
      </c>
      <c r="G14" s="2"/>
      <c r="H14" s="13"/>
    </row>
    <row r="15" spans="1:8" s="3" customFormat="1" ht="21" thickBot="1" x14ac:dyDescent="0.35">
      <c r="A15" s="2" t="s">
        <v>10</v>
      </c>
      <c r="B15" s="2"/>
      <c r="C15" s="2"/>
      <c r="D15" s="2"/>
      <c r="E15" s="2"/>
      <c r="F15" s="14">
        <v>72541</v>
      </c>
      <c r="G15" s="2"/>
      <c r="H15" s="2"/>
    </row>
    <row r="16" spans="1:8" s="3" customFormat="1" ht="21" thickTop="1" x14ac:dyDescent="0.3">
      <c r="A16" s="13"/>
      <c r="B16" s="2"/>
      <c r="C16" s="2"/>
      <c r="D16" s="2"/>
      <c r="E16" s="2"/>
      <c r="F16" s="10">
        <f>SUM(F14:F15)</f>
        <v>89041</v>
      </c>
      <c r="G16" s="2"/>
      <c r="H16" s="2"/>
    </row>
    <row r="17" spans="1:8" s="3" customFormat="1" ht="21" thickBot="1" x14ac:dyDescent="0.35">
      <c r="A17" s="2" t="s">
        <v>11</v>
      </c>
      <c r="B17" s="2"/>
      <c r="C17" s="2"/>
      <c r="D17" s="2"/>
      <c r="E17" s="2"/>
      <c r="F17" s="14">
        <v>18465</v>
      </c>
      <c r="G17" s="2"/>
      <c r="H17" s="14">
        <f>SUM(F16-F17)</f>
        <v>70576</v>
      </c>
    </row>
    <row r="18" spans="1:8" s="3" customFormat="1" ht="21.75" thickTop="1" thickBot="1" x14ac:dyDescent="0.35">
      <c r="A18" s="28" t="s">
        <v>12</v>
      </c>
      <c r="B18" s="28"/>
      <c r="C18" s="28"/>
      <c r="D18" s="2"/>
      <c r="E18" s="2"/>
      <c r="F18" s="2"/>
      <c r="G18" s="2"/>
      <c r="H18" s="15">
        <f>SUM(H11-H17)</f>
        <v>124886</v>
      </c>
    </row>
    <row r="19" spans="1:8" s="3" customFormat="1" ht="21" thickTop="1" x14ac:dyDescent="0.3">
      <c r="A19" s="2"/>
      <c r="B19" s="2"/>
      <c r="C19" s="2"/>
      <c r="D19" s="2"/>
      <c r="E19" s="2"/>
      <c r="F19" s="2"/>
      <c r="G19" s="2"/>
      <c r="H19" s="16"/>
    </row>
    <row r="20" spans="1:8" s="3" customFormat="1" ht="20.25" x14ac:dyDescent="0.3">
      <c r="A20" s="2"/>
      <c r="B20" s="2"/>
      <c r="C20" s="2"/>
      <c r="D20" s="2"/>
      <c r="E20" s="2"/>
      <c r="F20" s="2"/>
      <c r="G20" s="2"/>
      <c r="H20" s="16"/>
    </row>
    <row r="21" spans="1:8" s="3" customFormat="1" ht="20.25" x14ac:dyDescent="0.3">
      <c r="A21" s="2"/>
      <c r="B21" s="2"/>
      <c r="C21" s="2"/>
      <c r="D21" s="2"/>
      <c r="E21" s="2"/>
      <c r="F21" s="2"/>
      <c r="G21" s="2"/>
      <c r="H21" s="16"/>
    </row>
    <row r="22" spans="1:8" s="3" customFormat="1" ht="20.25" x14ac:dyDescent="0.3">
      <c r="A22" s="30" t="s">
        <v>13</v>
      </c>
      <c r="B22" s="30"/>
      <c r="C22" s="2"/>
      <c r="D22" s="2"/>
      <c r="E22" s="2"/>
      <c r="F22" s="2"/>
      <c r="G22" s="2"/>
      <c r="H22" s="2"/>
    </row>
    <row r="23" spans="1:8" s="3" customFormat="1" ht="20.25" x14ac:dyDescent="0.3">
      <c r="A23" s="2" t="s">
        <v>49</v>
      </c>
      <c r="B23" s="2"/>
      <c r="C23" s="2"/>
      <c r="D23" s="2"/>
      <c r="E23" s="2"/>
      <c r="F23" s="10">
        <v>65241</v>
      </c>
      <c r="G23" s="13"/>
      <c r="H23" s="2"/>
    </row>
    <row r="24" spans="1:8" s="3" customFormat="1" ht="20.25" x14ac:dyDescent="0.3">
      <c r="A24" s="29" t="s">
        <v>56</v>
      </c>
      <c r="B24" s="29"/>
      <c r="C24" s="29"/>
      <c r="D24" s="29"/>
      <c r="E24" s="2"/>
      <c r="F24" s="10">
        <v>15412</v>
      </c>
      <c r="G24" s="13"/>
      <c r="H24" s="2"/>
    </row>
    <row r="25" spans="1:8" s="3" customFormat="1" ht="20.25" x14ac:dyDescent="0.3">
      <c r="A25" s="2" t="s">
        <v>14</v>
      </c>
      <c r="B25" s="2"/>
      <c r="C25" s="2"/>
      <c r="D25" s="2"/>
      <c r="E25" s="2"/>
      <c r="F25" s="10">
        <v>3200</v>
      </c>
      <c r="G25" s="2"/>
      <c r="H25" s="2"/>
    </row>
    <row r="26" spans="1:8" s="3" customFormat="1" ht="20.25" x14ac:dyDescent="0.3">
      <c r="A26" s="2" t="s">
        <v>57</v>
      </c>
      <c r="B26" s="2"/>
      <c r="C26" s="2"/>
      <c r="D26" s="2"/>
      <c r="E26" s="2"/>
      <c r="F26" s="10">
        <v>2457</v>
      </c>
      <c r="G26" s="2"/>
      <c r="H26" s="2"/>
    </row>
    <row r="27" spans="1:8" s="3" customFormat="1" ht="20.25" x14ac:dyDescent="0.3">
      <c r="A27" s="29" t="s">
        <v>58</v>
      </c>
      <c r="B27" s="29"/>
      <c r="C27" s="2"/>
      <c r="D27" s="2"/>
      <c r="E27" s="2"/>
      <c r="F27" s="10">
        <v>5247</v>
      </c>
      <c r="G27" s="2"/>
      <c r="H27" s="2"/>
    </row>
    <row r="28" spans="1:8" s="3" customFormat="1" ht="20.25" x14ac:dyDescent="0.3">
      <c r="A28" s="2" t="s">
        <v>76</v>
      </c>
      <c r="B28" s="2"/>
      <c r="C28" s="2"/>
      <c r="D28" s="2"/>
      <c r="E28" s="2"/>
      <c r="F28" s="10">
        <v>652</v>
      </c>
      <c r="G28" s="2"/>
      <c r="H28" s="2"/>
    </row>
    <row r="29" spans="1:8" s="3" customFormat="1" ht="21" thickBot="1" x14ac:dyDescent="0.35">
      <c r="A29" s="29" t="s">
        <v>77</v>
      </c>
      <c r="B29" s="29"/>
      <c r="C29" s="29"/>
      <c r="D29" s="29"/>
      <c r="E29" s="29"/>
      <c r="F29" s="14">
        <v>1740</v>
      </c>
      <c r="G29" s="2"/>
      <c r="H29" s="2">
        <f>SUM(F23:F29)</f>
        <v>93949</v>
      </c>
    </row>
    <row r="30" spans="1:8" s="3" customFormat="1" ht="21.75" thickTop="1" thickBot="1" x14ac:dyDescent="0.35">
      <c r="A30" s="28" t="s">
        <v>21</v>
      </c>
      <c r="B30" s="28"/>
      <c r="C30" s="2"/>
      <c r="D30" s="2"/>
      <c r="E30" s="2"/>
      <c r="F30" s="13"/>
      <c r="G30" s="13"/>
      <c r="H30" s="15">
        <f>SUM(H18-H29)</f>
        <v>30937</v>
      </c>
    </row>
    <row r="31" spans="1:8" s="3" customFormat="1" ht="21" thickTop="1" x14ac:dyDescent="0.3">
      <c r="A31" s="27"/>
      <c r="B31" s="27"/>
      <c r="C31" s="2"/>
      <c r="D31" s="2"/>
      <c r="E31" s="2"/>
      <c r="F31" s="13"/>
      <c r="G31" s="13"/>
      <c r="H31" s="12"/>
    </row>
    <row r="32" spans="1:8" s="3" customFormat="1" ht="20.25" x14ac:dyDescent="0.3">
      <c r="A32" s="2"/>
      <c r="B32" s="2"/>
      <c r="C32" s="2"/>
      <c r="D32" s="2"/>
      <c r="E32" s="2"/>
      <c r="F32" s="2"/>
      <c r="G32" s="2"/>
      <c r="H32" s="13"/>
    </row>
    <row r="39" spans="1:8" s="3" customFormat="1" ht="20.25" x14ac:dyDescent="0.3">
      <c r="A39" s="26" t="s">
        <v>1</v>
      </c>
      <c r="B39" s="26"/>
      <c r="C39" s="26"/>
      <c r="D39" s="6"/>
      <c r="E39" s="6"/>
      <c r="F39" s="32" t="s">
        <v>74</v>
      </c>
      <c r="G39" s="32"/>
      <c r="H39" s="32"/>
    </row>
    <row r="40" spans="1:8" s="3" customFormat="1" ht="20.25" x14ac:dyDescent="0.3">
      <c r="A40" s="4"/>
      <c r="B40" s="4"/>
      <c r="C40" s="4"/>
      <c r="D40" s="1"/>
      <c r="E40" s="1"/>
      <c r="F40" s="1"/>
      <c r="G40" s="1"/>
      <c r="H40" s="2"/>
    </row>
    <row r="41" spans="1:8" s="3" customFormat="1" ht="20.25" x14ac:dyDescent="0.3">
      <c r="A41" s="1" t="s">
        <v>22</v>
      </c>
      <c r="B41" s="1"/>
      <c r="C41" s="1"/>
      <c r="D41" s="1"/>
      <c r="E41" s="1"/>
      <c r="F41" s="6"/>
      <c r="G41" s="33" t="s">
        <v>75</v>
      </c>
      <c r="H41" s="33"/>
    </row>
    <row r="42" spans="1:8" s="3" customFormat="1" ht="20.25" x14ac:dyDescent="0.3">
      <c r="A42" s="1"/>
      <c r="B42" s="1"/>
      <c r="C42" s="1"/>
      <c r="D42" s="1"/>
      <c r="E42" s="1"/>
      <c r="F42" s="1"/>
      <c r="G42" s="1"/>
      <c r="H42" s="2"/>
    </row>
    <row r="43" spans="1:8" s="3" customFormat="1" ht="20.25" x14ac:dyDescent="0.3">
      <c r="A43" s="4" t="s">
        <v>23</v>
      </c>
      <c r="B43" s="1"/>
      <c r="C43" s="1"/>
      <c r="D43" s="2"/>
      <c r="E43" s="2"/>
      <c r="F43" s="11" t="s">
        <v>24</v>
      </c>
      <c r="G43" s="11" t="s">
        <v>25</v>
      </c>
      <c r="H43" s="11" t="s">
        <v>26</v>
      </c>
    </row>
    <row r="44" spans="1:8" s="3" customFormat="1" ht="20.25" x14ac:dyDescent="0.3">
      <c r="A44" s="29" t="s">
        <v>27</v>
      </c>
      <c r="B44" s="29"/>
      <c r="C44" s="29"/>
      <c r="D44" s="29"/>
      <c r="E44" s="2"/>
      <c r="F44" s="2"/>
      <c r="G44" s="2"/>
      <c r="H44" s="16">
        <v>150000</v>
      </c>
    </row>
    <row r="45" spans="1:8" s="3" customFormat="1" ht="20.25" x14ac:dyDescent="0.3">
      <c r="A45" s="29" t="s">
        <v>52</v>
      </c>
      <c r="B45" s="29"/>
      <c r="C45" s="29"/>
      <c r="D45" s="29"/>
      <c r="E45" s="2"/>
      <c r="F45" s="2">
        <v>6520</v>
      </c>
      <c r="G45" s="2">
        <v>652</v>
      </c>
      <c r="H45" s="16">
        <f>(F45-G45)</f>
        <v>5868</v>
      </c>
    </row>
    <row r="46" spans="1:8" s="3" customFormat="1" ht="21" thickBot="1" x14ac:dyDescent="0.35">
      <c r="A46" s="29" t="s">
        <v>61</v>
      </c>
      <c r="B46" s="29"/>
      <c r="C46" s="29"/>
      <c r="D46" s="29"/>
      <c r="E46" s="2"/>
      <c r="F46" s="2">
        <v>5800</v>
      </c>
      <c r="G46" s="2">
        <v>1740</v>
      </c>
      <c r="H46" s="16">
        <f>(F46-G46)</f>
        <v>4060</v>
      </c>
    </row>
    <row r="47" spans="1:8" s="3" customFormat="1" ht="21" thickTop="1" x14ac:dyDescent="0.3">
      <c r="A47" s="2"/>
      <c r="B47" s="2"/>
      <c r="C47" s="2"/>
      <c r="D47" s="2"/>
      <c r="E47" s="2"/>
      <c r="F47" s="2"/>
      <c r="G47" s="2"/>
      <c r="H47" s="17">
        <f>SUM(H44:H46)</f>
        <v>159928</v>
      </c>
    </row>
    <row r="48" spans="1:8" s="3" customFormat="1" ht="20.25" x14ac:dyDescent="0.3">
      <c r="A48" s="2"/>
      <c r="B48" s="2"/>
      <c r="C48" s="2"/>
      <c r="D48" s="2"/>
      <c r="E48" s="2"/>
      <c r="F48" s="2"/>
      <c r="G48" s="2"/>
      <c r="H48" s="16"/>
    </row>
    <row r="49" spans="1:8" s="3" customFormat="1" ht="20.25" x14ac:dyDescent="0.3">
      <c r="A49" s="2"/>
      <c r="B49" s="2"/>
      <c r="C49" s="2"/>
      <c r="D49" s="2"/>
      <c r="E49" s="2"/>
      <c r="F49" s="2"/>
      <c r="G49" s="2"/>
      <c r="H49" s="2"/>
    </row>
    <row r="50" spans="1:8" s="3" customFormat="1" ht="20.25" x14ac:dyDescent="0.3">
      <c r="A50" s="4" t="s">
        <v>30</v>
      </c>
      <c r="B50" s="1"/>
      <c r="C50" s="1"/>
      <c r="D50" s="1"/>
      <c r="E50" s="2"/>
      <c r="F50" s="2"/>
      <c r="G50" s="2"/>
      <c r="H50" s="2"/>
    </row>
    <row r="51" spans="1:8" s="3" customFormat="1" ht="20.25" x14ac:dyDescent="0.3">
      <c r="A51" s="29" t="s">
        <v>31</v>
      </c>
      <c r="B51" s="29"/>
      <c r="C51" s="29"/>
      <c r="D51" s="29"/>
      <c r="E51" s="2"/>
      <c r="F51" s="2"/>
      <c r="G51" s="2">
        <v>18465</v>
      </c>
      <c r="H51" s="2"/>
    </row>
    <row r="52" spans="1:8" s="3" customFormat="1" ht="20.25" x14ac:dyDescent="0.3">
      <c r="A52" s="29" t="s">
        <v>32</v>
      </c>
      <c r="B52" s="29"/>
      <c r="C52" s="29"/>
      <c r="D52" s="29"/>
      <c r="E52" s="2"/>
      <c r="F52" s="2"/>
      <c r="G52" s="16">
        <v>1500</v>
      </c>
      <c r="H52" s="2"/>
    </row>
    <row r="53" spans="1:8" s="3" customFormat="1" ht="21" thickBot="1" x14ac:dyDescent="0.35">
      <c r="A53" s="29" t="s">
        <v>63</v>
      </c>
      <c r="B53" s="29"/>
      <c r="C53" s="29"/>
      <c r="D53" s="29"/>
      <c r="E53" s="2"/>
      <c r="F53" s="2"/>
      <c r="G53" s="2">
        <v>4065</v>
      </c>
      <c r="H53" s="2"/>
    </row>
    <row r="54" spans="1:8" s="3" customFormat="1" ht="21" thickTop="1" x14ac:dyDescent="0.3">
      <c r="A54" s="2"/>
      <c r="B54" s="2"/>
      <c r="C54" s="2"/>
      <c r="D54" s="2"/>
      <c r="E54" s="2"/>
      <c r="F54" s="2"/>
      <c r="G54" s="17">
        <f>SUM(G51:G53)</f>
        <v>24030</v>
      </c>
      <c r="H54" s="2"/>
    </row>
    <row r="55" spans="1:8" s="3" customFormat="1" ht="20.25" x14ac:dyDescent="0.3">
      <c r="A55" s="2"/>
      <c r="B55" s="2"/>
      <c r="C55" s="2"/>
      <c r="D55" s="2"/>
      <c r="E55" s="2"/>
      <c r="F55" s="2"/>
      <c r="G55" s="16"/>
      <c r="H55" s="2"/>
    </row>
    <row r="56" spans="1:8" s="3" customFormat="1" ht="20.25" x14ac:dyDescent="0.3">
      <c r="A56" s="4" t="s">
        <v>33</v>
      </c>
      <c r="B56" s="1"/>
      <c r="C56" s="1"/>
      <c r="D56" s="1"/>
      <c r="E56" s="2"/>
      <c r="F56" s="2"/>
      <c r="G56" s="2"/>
      <c r="H56" s="2"/>
    </row>
    <row r="57" spans="1:8" s="3" customFormat="1" ht="20.25" x14ac:dyDescent="0.3">
      <c r="A57" s="29" t="s">
        <v>34</v>
      </c>
      <c r="B57" s="30"/>
      <c r="C57" s="30"/>
      <c r="D57" s="30"/>
      <c r="E57" s="2"/>
      <c r="F57" s="2">
        <v>13500</v>
      </c>
      <c r="G57" s="2"/>
      <c r="H57" s="2"/>
    </row>
    <row r="58" spans="1:8" s="3" customFormat="1" ht="21" thickBot="1" x14ac:dyDescent="0.35">
      <c r="A58" s="29" t="s">
        <v>35</v>
      </c>
      <c r="B58" s="29"/>
      <c r="C58" s="29"/>
      <c r="D58" s="29"/>
      <c r="E58" s="2"/>
      <c r="F58" s="16">
        <v>19021</v>
      </c>
      <c r="G58" s="2"/>
      <c r="H58" s="16"/>
    </row>
    <row r="59" spans="1:8" s="3" customFormat="1" ht="21" thickTop="1" x14ac:dyDescent="0.3">
      <c r="A59" s="25"/>
      <c r="B59" s="25"/>
      <c r="C59" s="25"/>
      <c r="D59" s="25"/>
      <c r="E59" s="2"/>
      <c r="F59" s="17">
        <f>SUM(F57:F58)</f>
        <v>32521</v>
      </c>
      <c r="G59" s="2"/>
      <c r="H59" s="16"/>
    </row>
    <row r="60" spans="1:8" s="3" customFormat="1" ht="21" thickBot="1" x14ac:dyDescent="0.35">
      <c r="A60" s="2" t="s">
        <v>36</v>
      </c>
      <c r="B60" s="2"/>
      <c r="C60" s="2"/>
      <c r="D60" s="2"/>
      <c r="E60" s="2"/>
      <c r="F60" s="2"/>
      <c r="G60" s="2"/>
      <c r="H60" s="18">
        <f>SUM(G54-F59)</f>
        <v>-8491</v>
      </c>
    </row>
    <row r="61" spans="1:8" s="3" customFormat="1" ht="21" thickTop="1" x14ac:dyDescent="0.3">
      <c r="A61" s="2" t="s">
        <v>37</v>
      </c>
      <c r="B61" s="2"/>
      <c r="C61" s="2"/>
      <c r="D61" s="2"/>
      <c r="E61" s="2"/>
      <c r="F61" s="2"/>
      <c r="G61" s="2"/>
      <c r="H61" s="16">
        <f>SUM(H47:H60)</f>
        <v>151437</v>
      </c>
    </row>
    <row r="62" spans="1:8" s="3" customFormat="1" ht="20.25" x14ac:dyDescent="0.3">
      <c r="A62" s="2"/>
      <c r="B62" s="2"/>
      <c r="C62" s="2"/>
      <c r="D62" s="2"/>
      <c r="E62" s="2"/>
      <c r="F62" s="2"/>
      <c r="G62" s="2"/>
      <c r="H62" s="19"/>
    </row>
    <row r="63" spans="1:8" s="3" customFormat="1" ht="20.25" x14ac:dyDescent="0.3">
      <c r="A63" s="2" t="s">
        <v>6</v>
      </c>
      <c r="B63" s="2"/>
      <c r="C63" s="2"/>
      <c r="D63" s="2"/>
      <c r="E63" s="2"/>
      <c r="F63" s="2"/>
      <c r="G63" s="2"/>
      <c r="H63" s="2"/>
    </row>
    <row r="64" spans="1:8" s="3" customFormat="1" ht="20.25" x14ac:dyDescent="0.3">
      <c r="A64" s="4" t="s">
        <v>38</v>
      </c>
      <c r="B64" s="1"/>
      <c r="C64" s="1"/>
      <c r="D64" s="1"/>
      <c r="E64" s="2"/>
      <c r="F64" s="2"/>
      <c r="G64" s="2"/>
      <c r="H64" s="2"/>
    </row>
    <row r="65" spans="1:8" s="3" customFormat="1" ht="21" thickBot="1" x14ac:dyDescent="0.35">
      <c r="A65" s="29" t="s">
        <v>39</v>
      </c>
      <c r="B65" s="29"/>
      <c r="C65" s="29"/>
      <c r="D65" s="29"/>
      <c r="E65" s="2"/>
      <c r="F65" s="2"/>
      <c r="G65" s="2"/>
      <c r="H65" s="16">
        <v>7500</v>
      </c>
    </row>
    <row r="66" spans="1:8" s="3" customFormat="1" ht="21.75" thickTop="1" thickBot="1" x14ac:dyDescent="0.35">
      <c r="A66" s="1" t="s">
        <v>40</v>
      </c>
      <c r="B66" s="1"/>
      <c r="C66" s="1"/>
      <c r="D66" s="2"/>
      <c r="E66" s="2"/>
      <c r="F66" s="2"/>
      <c r="G66" s="2"/>
      <c r="H66" s="20">
        <f>SUM(H61-H65)</f>
        <v>143937</v>
      </c>
    </row>
    <row r="67" spans="1:8" s="3" customFormat="1" ht="21" thickTop="1" x14ac:dyDescent="0.3">
      <c r="A67" s="2"/>
      <c r="B67" s="2"/>
      <c r="C67" s="2"/>
      <c r="D67" s="2"/>
      <c r="E67" s="2"/>
      <c r="F67" s="2"/>
      <c r="G67" s="2"/>
      <c r="H67" s="19"/>
    </row>
    <row r="68" spans="1:8" s="3" customFormat="1" ht="20.25" x14ac:dyDescent="0.3">
      <c r="A68" s="2"/>
      <c r="B68" s="2"/>
      <c r="C68" s="2"/>
      <c r="D68" s="2"/>
      <c r="E68" s="2"/>
      <c r="F68" s="2"/>
      <c r="G68" s="2"/>
      <c r="H68" s="2"/>
    </row>
    <row r="69" spans="1:8" s="3" customFormat="1" ht="20.25" x14ac:dyDescent="0.3">
      <c r="A69" s="4" t="s">
        <v>41</v>
      </c>
      <c r="B69" s="1"/>
      <c r="C69" s="1"/>
      <c r="D69" s="2"/>
      <c r="E69" s="2"/>
      <c r="F69" s="2"/>
      <c r="G69" s="2"/>
      <c r="H69" s="2"/>
    </row>
    <row r="70" spans="1:8" s="3" customFormat="1" ht="20.25" x14ac:dyDescent="0.3">
      <c r="A70" s="29" t="s">
        <v>42</v>
      </c>
      <c r="B70" s="29"/>
      <c r="C70" s="29"/>
      <c r="D70" s="29"/>
      <c r="E70" s="2"/>
      <c r="F70" s="2"/>
      <c r="G70" s="2"/>
      <c r="H70" s="21">
        <v>130000</v>
      </c>
    </row>
    <row r="71" spans="1:8" s="3" customFormat="1" ht="21" thickBot="1" x14ac:dyDescent="0.35">
      <c r="A71" s="29" t="s">
        <v>43</v>
      </c>
      <c r="B71" s="29"/>
      <c r="C71" s="29"/>
      <c r="D71" s="29"/>
      <c r="E71" s="2"/>
      <c r="F71" s="2"/>
      <c r="G71" s="2"/>
      <c r="H71" s="21">
        <v>30937</v>
      </c>
    </row>
    <row r="72" spans="1:8" s="3" customFormat="1" ht="21" thickTop="1" x14ac:dyDescent="0.3">
      <c r="A72" s="2"/>
      <c r="B72" s="2"/>
      <c r="C72" s="2"/>
      <c r="D72" s="2"/>
      <c r="E72" s="2"/>
      <c r="F72" s="2"/>
      <c r="G72" s="2"/>
      <c r="H72" s="22">
        <f>SUM(H70:H71)</f>
        <v>160937</v>
      </c>
    </row>
    <row r="73" spans="1:8" s="3" customFormat="1" ht="21" thickBot="1" x14ac:dyDescent="0.35">
      <c r="A73" s="29" t="s">
        <v>44</v>
      </c>
      <c r="B73" s="29"/>
      <c r="C73" s="29"/>
      <c r="D73" s="29"/>
      <c r="E73" s="2"/>
      <c r="F73" s="2"/>
      <c r="G73" s="2"/>
      <c r="H73" s="23">
        <v>17000</v>
      </c>
    </row>
    <row r="74" spans="1:8" s="3" customFormat="1" ht="21.75" thickTop="1" thickBot="1" x14ac:dyDescent="0.35">
      <c r="A74" s="28" t="s">
        <v>45</v>
      </c>
      <c r="B74" s="28"/>
      <c r="C74" s="28"/>
      <c r="D74" s="28"/>
      <c r="E74" s="2"/>
      <c r="F74" s="2"/>
      <c r="G74" s="2"/>
      <c r="H74" s="24">
        <f>SUM(H72-H73)</f>
        <v>143937</v>
      </c>
    </row>
    <row r="75" spans="1:8" ht="15.75" thickTop="1" x14ac:dyDescent="0.25"/>
  </sheetData>
  <mergeCells count="26">
    <mergeCell ref="F39:H39"/>
    <mergeCell ref="A1:D1"/>
    <mergeCell ref="A4:C4"/>
    <mergeCell ref="F4:H4"/>
    <mergeCell ref="A6:F6"/>
    <mergeCell ref="G6:H6"/>
    <mergeCell ref="A18:C18"/>
    <mergeCell ref="A52:D52"/>
    <mergeCell ref="A22:B22"/>
    <mergeCell ref="A24:D24"/>
    <mergeCell ref="A27:B27"/>
    <mergeCell ref="A29:E29"/>
    <mergeCell ref="A30:B30"/>
    <mergeCell ref="G41:H41"/>
    <mergeCell ref="A44:D44"/>
    <mergeCell ref="A45:D45"/>
    <mergeCell ref="A46:D46"/>
    <mergeCell ref="A51:D51"/>
    <mergeCell ref="A73:D73"/>
    <mergeCell ref="A74:D74"/>
    <mergeCell ref="A53:D53"/>
    <mergeCell ref="A57:D57"/>
    <mergeCell ref="A58:D58"/>
    <mergeCell ref="A65:D65"/>
    <mergeCell ref="A70:D70"/>
    <mergeCell ref="A71:D7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Mindfulness Services</vt:lpstr>
      <vt:lpstr>The Green Restaurant</vt:lpstr>
      <vt:lpstr>LiteSnacks</vt:lpstr>
      <vt:lpstr>Robinson Stores</vt:lpstr>
      <vt:lpstr>Prime Products</vt:lpstr>
      <vt:lpstr>DD Drinks</vt:lpstr>
    </vt:vector>
  </TitlesOfParts>
  <Manager/>
  <Company>University College Birmingham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Sangeeta Ram</cp:lastModifiedBy>
  <cp:revision/>
  <cp:lastPrinted>2023-03-07T15:47:45Z</cp:lastPrinted>
  <dcterms:created xsi:type="dcterms:W3CDTF">2019-10-28T13:25:38Z</dcterms:created>
  <dcterms:modified xsi:type="dcterms:W3CDTF">2023-03-07T15:48:10Z</dcterms:modified>
  <cp:category/>
  <cp:contentStatus/>
</cp:coreProperties>
</file>